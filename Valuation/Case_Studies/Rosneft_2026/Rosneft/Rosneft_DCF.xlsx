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a\Desktop\Valuations\DCF\Rosneft\"/>
    </mc:Choice>
  </mc:AlternateContent>
  <xr:revisionPtr revIDLastSave="0" documentId="13_ncr:1_{D12D150D-2A6C-4312-96A3-0D1904B3B6ED}" xr6:coauthVersionLast="47" xr6:coauthVersionMax="47" xr10:uidLastSave="{00000000-0000-0000-0000-000000000000}"/>
  <bookViews>
    <workbookView xWindow="-110" yWindow="-110" windowWidth="19420" windowHeight="11500" firstSheet="1" activeTab="1" xr2:uid="{608A0F95-C411-4E87-BE42-51159C3A09C7}"/>
  </bookViews>
  <sheets>
    <sheet name="__FDSCACHE__" sheetId="6" state="veryHidden" r:id="rId1"/>
    <sheet name="Empty" sheetId="8" r:id="rId2"/>
    <sheet name="IS" sheetId="3" r:id="rId3"/>
    <sheet name="WACC" sheetId="7" r:id="rId4"/>
    <sheet name="CFS" sheetId="4" r:id="rId5"/>
  </sheets>
  <externalReferences>
    <externalReference r:id="rId6"/>
    <externalReference r:id="rId7"/>
  </externalReferences>
  <definedNames>
    <definedName name="CASE">'[1]Operating Model'!#REF!</definedName>
    <definedName name="CIRC">'[1]Operating Model'!#REF!</definedName>
    <definedName name="PIK">[2]LBO!$E$8</definedName>
    <definedName name="tgr" localSheetId="1">Empty!$D$10</definedName>
    <definedName name="tgr" localSheetId="3">WACC!#REF!</definedName>
    <definedName name="tgr">#REF!</definedName>
    <definedName name="wacc" localSheetId="1">Empty!$D$9</definedName>
    <definedName name="wacc" localSheetId="3">WACC!#REF!</definedName>
    <definedName name="wacc">#REF!</definedName>
  </definedNames>
  <calcPr calcId="191029" calcMode="autoNoTable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8" l="1"/>
  <c r="G16" i="8"/>
  <c r="H16" i="8"/>
  <c r="I16" i="8"/>
  <c r="E16" i="8"/>
  <c r="F20" i="8"/>
  <c r="G19" i="8"/>
  <c r="H19" i="8"/>
  <c r="I19" i="8"/>
  <c r="F19" i="8"/>
  <c r="I33" i="8"/>
  <c r="I29" i="8"/>
  <c r="G29" i="8" l="1"/>
  <c r="H29" i="8"/>
  <c r="F29" i="8"/>
  <c r="F39" i="8"/>
  <c r="G39" i="8"/>
  <c r="H39" i="8"/>
  <c r="I39" i="8"/>
  <c r="E39" i="8"/>
  <c r="F32" i="8"/>
  <c r="G32" i="8"/>
  <c r="H32" i="8"/>
  <c r="I32" i="8"/>
  <c r="J32" i="8"/>
  <c r="K32" i="8"/>
  <c r="L32" i="8"/>
  <c r="M32" i="8"/>
  <c r="N32" i="8"/>
  <c r="E32" i="8"/>
  <c r="F26" i="8"/>
  <c r="G26" i="8"/>
  <c r="H26" i="8"/>
  <c r="I26" i="8"/>
  <c r="E26" i="8"/>
  <c r="F23" i="8"/>
  <c r="G23" i="8"/>
  <c r="H23" i="8"/>
  <c r="I23" i="8"/>
  <c r="E23" i="8"/>
  <c r="F14" i="8"/>
  <c r="F13" i="8" l="1"/>
  <c r="G13" i="8"/>
  <c r="H13" i="8"/>
  <c r="E13" i="8"/>
  <c r="N39" i="3"/>
  <c r="N37" i="3"/>
  <c r="M34" i="3"/>
  <c r="N34" i="3"/>
  <c r="N33" i="3"/>
  <c r="M33" i="3"/>
  <c r="N32" i="3"/>
  <c r="M39" i="3"/>
  <c r="L39" i="3"/>
  <c r="M37" i="3"/>
  <c r="L37" i="3"/>
  <c r="L34" i="3"/>
  <c r="L33" i="3"/>
  <c r="M32" i="3"/>
  <c r="L32" i="3"/>
  <c r="D22" i="7"/>
  <c r="D15" i="7"/>
  <c r="D14" i="7"/>
  <c r="D9" i="7"/>
  <c r="D8" i="7"/>
  <c r="K47" i="8" l="1"/>
  <c r="L47" i="8"/>
  <c r="M47" i="8"/>
  <c r="N47" i="8"/>
  <c r="J47" i="8"/>
  <c r="K44" i="8"/>
  <c r="L44" i="8"/>
  <c r="M44" i="8"/>
  <c r="N44" i="8"/>
  <c r="J44" i="8"/>
  <c r="N59" i="8"/>
  <c r="E33" i="8"/>
  <c r="F33" i="8"/>
  <c r="I13" i="8"/>
  <c r="J13" i="8"/>
  <c r="J24" i="8" s="1"/>
  <c r="K13" i="8"/>
  <c r="K14" i="8" s="1"/>
  <c r="K34" i="8" s="1"/>
  <c r="L13" i="8"/>
  <c r="M13" i="8"/>
  <c r="M24" i="8" s="1"/>
  <c r="N13" i="8"/>
  <c r="N27" i="8" s="1"/>
  <c r="E17" i="8"/>
  <c r="F36" i="8"/>
  <c r="G36" i="8"/>
  <c r="H36" i="8"/>
  <c r="I36" i="8"/>
  <c r="I40" i="8" s="1"/>
  <c r="J16" i="8"/>
  <c r="K16" i="8"/>
  <c r="L16" i="8"/>
  <c r="M16" i="8"/>
  <c r="N16" i="8"/>
  <c r="E19" i="8"/>
  <c r="J19" i="8"/>
  <c r="K19" i="8"/>
  <c r="L19" i="8"/>
  <c r="M19" i="8"/>
  <c r="N19" i="8"/>
  <c r="E24" i="8"/>
  <c r="E27" i="8"/>
  <c r="H30" i="8"/>
  <c r="I30" i="8" l="1"/>
  <c r="H20" i="8"/>
  <c r="G40" i="8"/>
  <c r="G14" i="8"/>
  <c r="M27" i="8"/>
  <c r="G20" i="8"/>
  <c r="H40" i="8"/>
  <c r="M17" i="8"/>
  <c r="M37" i="8" s="1"/>
  <c r="L17" i="8"/>
  <c r="L37" i="8" s="1"/>
  <c r="F40" i="8"/>
  <c r="E20" i="8"/>
  <c r="N20" i="8"/>
  <c r="N40" i="8" s="1"/>
  <c r="E36" i="8"/>
  <c r="M20" i="8"/>
  <c r="M40" i="8" s="1"/>
  <c r="L20" i="8"/>
  <c r="L40" i="8" s="1"/>
  <c r="K20" i="8"/>
  <c r="K40" i="8" s="1"/>
  <c r="J20" i="8"/>
  <c r="J40" i="8" s="1"/>
  <c r="L24" i="8"/>
  <c r="L27" i="8"/>
  <c r="M14" i="8"/>
  <c r="M34" i="8" s="1"/>
  <c r="K24" i="8"/>
  <c r="G27" i="8"/>
  <c r="G24" i="8"/>
  <c r="F24" i="8"/>
  <c r="K27" i="8"/>
  <c r="J27" i="8"/>
  <c r="I24" i="8"/>
  <c r="F30" i="8"/>
  <c r="J17" i="8"/>
  <c r="J37" i="8" s="1"/>
  <c r="I27" i="8"/>
  <c r="H24" i="8"/>
  <c r="H17" i="8"/>
  <c r="K17" i="8"/>
  <c r="K37" i="8" s="1"/>
  <c r="N24" i="8"/>
  <c r="N17" i="8"/>
  <c r="N37" i="8" s="1"/>
  <c r="L14" i="8"/>
  <c r="L34" i="8" s="1"/>
  <c r="G30" i="8"/>
  <c r="H27" i="8"/>
  <c r="I14" i="8"/>
  <c r="F37" i="8"/>
  <c r="F34" i="8"/>
  <c r="H33" i="8"/>
  <c r="I34" i="8" s="1"/>
  <c r="F27" i="8"/>
  <c r="H14" i="8"/>
  <c r="G33" i="8"/>
  <c r="G34" i="8" s="1"/>
  <c r="G37" i="8"/>
  <c r="G17" i="8"/>
  <c r="F17" i="8"/>
  <c r="J14" i="8"/>
  <c r="J34" i="8" s="1"/>
  <c r="J33" i="8" s="1"/>
  <c r="I37" i="8"/>
  <c r="I17" i="8"/>
  <c r="E30" i="8"/>
  <c r="N14" i="8"/>
  <c r="N34" i="8" s="1"/>
  <c r="I20" i="8"/>
  <c r="E37" i="8" l="1"/>
  <c r="E40" i="8"/>
  <c r="J51" i="8"/>
  <c r="K51" i="8" s="1"/>
  <c r="K33" i="8"/>
  <c r="J45" i="8"/>
  <c r="J48" i="8"/>
  <c r="J36" i="8"/>
  <c r="J39" i="8" s="1"/>
  <c r="J42" i="8" s="1"/>
  <c r="H34" i="8"/>
  <c r="H37" i="8"/>
  <c r="D20" i="7"/>
  <c r="J50" i="8" l="1"/>
  <c r="J53" i="8" s="1"/>
  <c r="J54" i="8" s="1"/>
  <c r="L33" i="8"/>
  <c r="K45" i="8"/>
  <c r="K36" i="8"/>
  <c r="K39" i="8" s="1"/>
  <c r="K42" i="8" s="1"/>
  <c r="K48" i="8"/>
  <c r="K50" i="8"/>
  <c r="L51" i="8"/>
  <c r="M51" i="8" l="1"/>
  <c r="L50" i="8"/>
  <c r="K53" i="8"/>
  <c r="K54" i="8" s="1"/>
  <c r="M33" i="8"/>
  <c r="L45" i="8"/>
  <c r="L48" i="8"/>
  <c r="L36" i="8"/>
  <c r="L39" i="8" s="1"/>
  <c r="L42" i="8" s="1"/>
  <c r="D9" i="8"/>
  <c r="L53" i="8" l="1"/>
  <c r="L54" i="8" s="1"/>
  <c r="N33" i="8"/>
  <c r="M48" i="8"/>
  <c r="M36" i="8"/>
  <c r="M39" i="8" s="1"/>
  <c r="M42" i="8" s="1"/>
  <c r="M45" i="8"/>
  <c r="N51" i="8"/>
  <c r="M50" i="8"/>
  <c r="N50" i="8" l="1"/>
  <c r="M53" i="8"/>
  <c r="M54" i="8" s="1"/>
  <c r="N45" i="8"/>
  <c r="N48" i="8"/>
  <c r="N36" i="8"/>
  <c r="N39" i="8" l="1"/>
  <c r="N42" i="8" s="1"/>
  <c r="N53" i="8" s="1"/>
  <c r="N56" i="8" l="1"/>
  <c r="N57" i="8" s="1"/>
  <c r="N54" i="8"/>
  <c r="N58" i="8" s="1"/>
  <c r="N61" i="8" s="1"/>
  <c r="N63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Chon</author>
  </authors>
  <commentList>
    <comment ref="A1" authorId="0" shapeId="0" xr:uid="{94DFBBEB-3902-49B6-BE75-B8C7EF0A6481}">
      <text>
        <r>
          <rPr>
            <b/>
            <sz val="9"/>
            <color indexed="81"/>
            <rFont val="Tahoma"/>
            <family val="2"/>
          </rPr>
          <t>&lt;?xml version="1.0" encoding="utf-8"?&gt;&lt;Schema xmlns:xsd="http://www.w3.org/2001/XMLSchema" xmlns:xsi="http://www.w3.org/2001/XMLSchema-instance" Version="2" Timestamp="1658677764"&gt;&lt;FQL&gt;&lt;Q&gt;AMZN^FE_ESTIMATE(DEP_AMORT_EXP,MEAN,ANN_ROLL,2022,NOW,,,'')&lt;/Q&gt;&lt;R&gt;1&lt;/R&gt;&lt;C&gt;1&lt;/C&gt;&lt;D xsi:type="xsd:double"&gt;38716.438&lt;/D&gt;&lt;/FQL&gt;&lt;FQL&gt;&lt;Q&gt;AMZN^FE_ESTIMATE(DEP_AMORT_EXP,MEAN,ANN_ROLL,2023,NOW,,,'')&lt;/Q&gt;&lt;R&gt;1&lt;/R&gt;&lt;C&gt;1&lt;/C&gt;&lt;D xsi:type="xsd:double"&gt;44728.72&lt;/D&gt;&lt;/FQL&gt;&lt;FQL&gt;&lt;Q&gt;AMZN^FE_ESTIMATE(DEP_AMORT_EXP,MEAN,ANN_ROLL,2024,NOW,,,'')&lt;/Q&gt;&lt;R&gt;1&lt;/R&gt;&lt;C&gt;1&lt;/C&gt;&lt;D xsi:type="xsd:double"&gt;52136.97&lt;/D&gt;&lt;/FQL&gt;&lt;FQL&gt;&lt;Q&gt;AMZN^FE_ESTIMATE(DEP_AMORT_EXP,MEAN,ANN_ROLL,2025,NOW,,,'')&lt;/Q&gt;&lt;R&gt;1&lt;/R&gt;&lt;C&gt;1&lt;/C&gt;&lt;D xsi:type="xsd:double"&gt;55507.54&lt;/D&gt;&lt;/FQL&gt;&lt;FQL&gt;&lt;Q&gt;AMZN^FE_ESTIMATE(DEP_AMORT_EXP,MEAN,ANN_ROLL,2026,NOW,,,'')&lt;/Q&gt;&lt;R&gt;1&lt;/R&gt;&lt;C&gt;1&lt;/C&gt;&lt;D xsi:type="xsd:double"&gt;58234.55&lt;/D&gt;&lt;/FQL&gt;&lt;FQL&gt;&lt;Q&gt;AMZN^FE_ESTIMATE(DEP_AMORT_EXP,MEAN,ANN_ROLL,2027,NOW,,,'')&lt;/Q&gt;&lt;R&gt;1&lt;/R&gt;&lt;C&gt;1&lt;/C&gt;&lt;D xsi:type="xsd:double"&gt;64625&lt;/D&gt;&lt;/FQL&gt;&lt;FQL&gt;&lt;Q&gt;AMZN^FE_ESTIMATE(CAPEX,MEAN,ANN_ROLL,2022,NOW,,,'')&lt;/Q&gt;&lt;R&gt;1&lt;/R&gt;&lt;C&gt;1&lt;/C&gt;&lt;D xsi:type="xsd:double"&gt;61050.723&lt;/D&gt;&lt;/FQL&gt;&lt;FQL&gt;&lt;Q&gt;AMZN^FE_ESTIMATE(CAPEX,MEAN,ANN_ROLL,2023,NOW,,,'')&lt;/Q&gt;&lt;R&gt;1&lt;/R&gt;&lt;C&gt;1&lt;/C&gt;&lt;D xsi:type="xsd:double"&gt;62598.887&lt;/D&gt;&lt;/FQL&gt;&lt;FQL&gt;&lt;Q&gt;AMZN^FE_ESTIMATE(CAPEX,MEAN,ANN_ROLL,2024,NOW,,,'')&lt;/Q&gt;&lt;R&gt;1&lt;/R&gt;&lt;C&gt;1&lt;/C&gt;&lt;D xsi:type="xsd:double"&gt;64481.453&lt;/D&gt;&lt;/FQL&gt;&lt;FQL&gt;&lt;Q&gt;AMZN^FE_ESTIMATE(CAPEX,MEAN,ANN_ROLL,2025,NOW,,,'')&lt;/Q&gt;&lt;R&gt;1&lt;/R&gt;&lt;C&gt;1&lt;/C&gt;&lt;D xsi:type="xsd:double"&gt;69493.41&lt;/D&gt;&lt;/FQL&gt;&lt;FQL&gt;&lt;Q&gt;AMZN^FE_ESTIMATE(CAPEX,MEAN,ANN_ROLL,2026,NOW,,,'')&lt;/Q&gt;&lt;R&gt;1&lt;/R&gt;&lt;C&gt;1&lt;/C&gt;&lt;D xsi:type="xsd:double"&gt;65697&lt;/D&gt;&lt;/FQL&gt;&lt;FQL&gt;&lt;Q&gt;AMZN^FE_ESTIMATE(CAPEX,MEAN,ANN_ROLL,2027,NOW,,,'')&lt;/Q&gt;&lt;R&gt;1&lt;/R&gt;&lt;C&gt;1&lt;/C&gt;&lt;D xsi:type="xsd:double"&gt;69051.93&lt;/D&gt;&lt;/FQL&gt;&lt;/Schema&gt;</t>
        </r>
      </text>
    </comment>
  </commentList>
</comments>
</file>

<file path=xl/sharedStrings.xml><?xml version="1.0" encoding="utf-8"?>
<sst xmlns="http://schemas.openxmlformats.org/spreadsheetml/2006/main" count="656" uniqueCount="148">
  <si>
    <t>Income Statement (M)</t>
  </si>
  <si>
    <t>CY '13</t>
  </si>
  <si>
    <t>CY '14</t>
  </si>
  <si>
    <t>CY '15</t>
  </si>
  <si>
    <t>CY '16</t>
  </si>
  <si>
    <t>CY '17</t>
  </si>
  <si>
    <t>CY '18</t>
  </si>
  <si>
    <t>CY '19</t>
  </si>
  <si>
    <t>CY '20</t>
  </si>
  <si>
    <t>CY '21</t>
  </si>
  <si>
    <t>Dec '13</t>
  </si>
  <si>
    <t>Dec '14</t>
  </si>
  <si>
    <t>Dec '15</t>
  </si>
  <si>
    <t>Dec '16</t>
  </si>
  <si>
    <t>Dec '17</t>
  </si>
  <si>
    <t>Dec '18</t>
  </si>
  <si>
    <t>Dec '19</t>
  </si>
  <si>
    <t>Dec '20</t>
  </si>
  <si>
    <t>Dec '21</t>
  </si>
  <si>
    <t>Sales</t>
  </si>
  <si>
    <t>Cost of Sales</t>
  </si>
  <si>
    <t>-</t>
  </si>
  <si>
    <t>Organic Growth (%)</t>
  </si>
  <si>
    <t>Constant Currency Revenue Growth (%)</t>
  </si>
  <si>
    <t>Gross Income</t>
  </si>
  <si>
    <t>SG&amp;A Expense</t>
  </si>
  <si>
    <t>General &amp; Admin Expense</t>
  </si>
  <si>
    <t>Research &amp; Development</t>
  </si>
  <si>
    <t>EBITDAR</t>
  </si>
  <si>
    <t>EBITDA</t>
  </si>
  <si>
    <t>EBITDA Non-GAAP</t>
  </si>
  <si>
    <t>EBITDA GAAP</t>
  </si>
  <si>
    <t>Depr. &amp; Amort.</t>
  </si>
  <si>
    <t>Operating Income</t>
  </si>
  <si>
    <t>EBITA</t>
  </si>
  <si>
    <t>Operating Income - Non GAAP</t>
  </si>
  <si>
    <t>Operating Income - GAAP</t>
  </si>
  <si>
    <t>Interest Expense</t>
  </si>
  <si>
    <t>Pretax Income</t>
  </si>
  <si>
    <t>Pretax Income - Non GAAP</t>
  </si>
  <si>
    <t>Pretax Income - GAAP</t>
  </si>
  <si>
    <t>Tax Expense</t>
  </si>
  <si>
    <t>Net Income</t>
  </si>
  <si>
    <t>Net Income - Non GAAP</t>
  </si>
  <si>
    <t>Net Income - GAAP</t>
  </si>
  <si>
    <t>Amazon DCF</t>
  </si>
  <si>
    <t>Ticker</t>
  </si>
  <si>
    <t>Date</t>
  </si>
  <si>
    <t>x</t>
  </si>
  <si>
    <t>Assumptions</t>
  </si>
  <si>
    <t>Income Statement</t>
  </si>
  <si>
    <t>Cash Flow Items</t>
  </si>
  <si>
    <t>DCF</t>
  </si>
  <si>
    <t>Revenue</t>
  </si>
  <si>
    <t>% growth</t>
  </si>
  <si>
    <t>EBIT</t>
  </si>
  <si>
    <t>% of sales</t>
  </si>
  <si>
    <t>Taxes</t>
  </si>
  <si>
    <t>% of EBIT</t>
  </si>
  <si>
    <t>D&amp;A</t>
  </si>
  <si>
    <t>CapEx</t>
  </si>
  <si>
    <t>Change in NWC</t>
  </si>
  <si>
    <t>% margin</t>
  </si>
  <si>
    <t>EBIAT</t>
  </si>
  <si>
    <t>Unlevered FCF</t>
  </si>
  <si>
    <t>Present Value of FCF</t>
  </si>
  <si>
    <t>WACC</t>
  </si>
  <si>
    <t>TGR</t>
  </si>
  <si>
    <t>Valuation Assumptions</t>
  </si>
  <si>
    <t>This sheet contains FactSet XML data for use with this workbook's =FDS codes.  Modifying the worksheet's contents may damage the workbook's =FDS functionality.</t>
  </si>
  <si>
    <t>Enterprise Value</t>
  </si>
  <si>
    <t>+ Cash</t>
  </si>
  <si>
    <t>- Debt</t>
  </si>
  <si>
    <t>Equity Value</t>
  </si>
  <si>
    <t>Shares</t>
  </si>
  <si>
    <t>Share Price</t>
  </si>
  <si>
    <t>Implied Share Price</t>
  </si>
  <si>
    <t>Terminal Value</t>
  </si>
  <si>
    <t>Present Value of Terminal Value</t>
  </si>
  <si>
    <t>Today's Share Price</t>
  </si>
  <si>
    <t>Debt</t>
  </si>
  <si>
    <t>% Debt</t>
  </si>
  <si>
    <t>Cost of Debt</t>
  </si>
  <si>
    <t>Tax Rate</t>
  </si>
  <si>
    <t>% Equity</t>
  </si>
  <si>
    <t>Cost of Equity</t>
  </si>
  <si>
    <t>Risk Free Rate</t>
  </si>
  <si>
    <t>Beta</t>
  </si>
  <si>
    <t>Market Risk Premium</t>
  </si>
  <si>
    <t>Debt + Equity</t>
  </si>
  <si>
    <t>WACC =  (% Equity x Cost of Equity) + (% Debt x Cost of Debt x (1 -Tax rate))</t>
  </si>
  <si>
    <t>Cost of Equity = Risk Free Rate + (Beta x (Expected Market Return - Risk Free Rate))</t>
  </si>
  <si>
    <t>Upside (Downside)</t>
  </si>
  <si>
    <t>PROJECTIONS</t>
  </si>
  <si>
    <t xml:space="preserve">  </t>
  </si>
  <si>
    <t>THE %MARGIN is the difference of the Revenue and the final EBIT</t>
  </si>
  <si>
    <t>ROSNEFT-RU</t>
  </si>
  <si>
    <t xml:space="preserve">           METRICS</t>
  </si>
  <si>
    <t>EBITDA Margin</t>
  </si>
  <si>
    <t>Operating Margin</t>
  </si>
  <si>
    <t>Net income margin</t>
  </si>
  <si>
    <t>CAPEX/EBITDA</t>
  </si>
  <si>
    <t>FCF/EBITDA</t>
  </si>
  <si>
    <t>Effective Tax Rate</t>
  </si>
  <si>
    <t>Cash Conversion</t>
  </si>
  <si>
    <t>D&amp;A Revenue</t>
  </si>
  <si>
    <t>CY '22</t>
  </si>
  <si>
    <t>CY '23</t>
  </si>
  <si>
    <t>CY '24</t>
  </si>
  <si>
    <t>CY '25</t>
  </si>
  <si>
    <t>CY '26</t>
  </si>
  <si>
    <t>CY '27</t>
  </si>
  <si>
    <t>CAPEX</t>
  </si>
  <si>
    <t>Dec '22</t>
  </si>
  <si>
    <t>Dec '23</t>
  </si>
  <si>
    <t>Dec '24</t>
  </si>
  <si>
    <t>Dec '25</t>
  </si>
  <si>
    <t>Dec '26</t>
  </si>
  <si>
    <t>Dec '27</t>
  </si>
  <si>
    <t>ROSN.ME</t>
  </si>
  <si>
    <t>Rosneft Oil Company</t>
  </si>
  <si>
    <t>ROSN    Currency: RUB    Unit: millions</t>
  </si>
  <si>
    <t>Source: Summary Consolidated Financial Statements (IFRS)</t>
  </si>
  <si>
    <t>Line Item</t>
  </si>
  <si>
    <t>Current assets</t>
  </si>
  <si>
    <t>Total non-current assets</t>
  </si>
  <si>
    <t>Total assets</t>
  </si>
  <si>
    <t>Current liabilities</t>
  </si>
  <si>
    <t>Non-current liabilities</t>
  </si>
  <si>
    <t>Total equity</t>
  </si>
  <si>
    <t>Total revenues and equity share in profits</t>
  </si>
  <si>
    <t>Production and operating expenses</t>
  </si>
  <si>
    <t>Depreciation, depletion, amortization and impairment</t>
  </si>
  <si>
    <t>Taxes other than income tax</t>
  </si>
  <si>
    <t>Other costs and expenses</t>
  </si>
  <si>
    <t>Total costs and expenses</t>
  </si>
  <si>
    <t>Operating profit</t>
  </si>
  <si>
    <t>Profit before income tax</t>
  </si>
  <si>
    <t>Income tax expense</t>
  </si>
  <si>
    <t>Profit for the year</t>
  </si>
  <si>
    <t>Profit for the year attributable to Rosneft shareholders</t>
  </si>
  <si>
    <t>Net cash provided by operating activities</t>
  </si>
  <si>
    <t>Net cash used in investing activities</t>
  </si>
  <si>
    <t>Net cash used in financing activities</t>
  </si>
  <si>
    <t>Capital expenditures</t>
  </si>
  <si>
    <t>Net increase in cash and cash equivalents</t>
  </si>
  <si>
    <t>n/a</t>
  </si>
  <si>
    <t>2026 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</si>
</sst>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#,##0_);[Red]\(&quot;$&quot;#,##0\)"/>
    <numFmt numFmtId="164" formatCode="#,##0.0"/>
    <numFmt numFmtId="165" formatCode="0.0%"/>
    <numFmt numFmtId="166" formatCode="0.0%;\(0.0%\)"/>
    <numFmt numFmtId="167" formatCode="_([$$-409]* #,##0.00_);_([$$-409]* \(#,##0.00\);_([$$-409]* &quot;-&quot;??_);_(@_)"/>
    <numFmt numFmtId="168" formatCode="0%;\(0%\)"/>
    <numFmt numFmtId="169" formatCode="&quot;$&quot;#,##0.00"/>
    <numFmt numFmtId="170" formatCode="&quot;$&quot;#,##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10"/>
      <color rgb="FF646464"/>
      <name val="Arial"/>
      <family val="2"/>
    </font>
    <font>
      <b/>
      <sz val="10"/>
      <color rgb="FF003366"/>
      <name val="Arial"/>
      <family val="2"/>
    </font>
    <font>
      <u/>
      <sz val="10"/>
      <color rgb="FF0000FF"/>
      <name val="Arial"/>
      <family val="2"/>
    </font>
    <font>
      <u/>
      <sz val="10"/>
      <color rgb="FFFF0000"/>
      <name val="Arial"/>
      <family val="2"/>
    </font>
    <font>
      <b/>
      <u/>
      <sz val="10"/>
      <color rgb="FF003366"/>
      <name val="Arial"/>
      <family val="2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rgb="FF7030A0"/>
      <name val="Calibri"/>
      <family val="2"/>
      <scheme val="minor"/>
    </font>
    <font>
      <i/>
      <sz val="11"/>
      <color rgb="FF7030A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9"/>
      <color indexed="81"/>
      <name val="Tahoma"/>
      <family val="2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Arial"/>
      <family val="2"/>
    </font>
    <font>
      <sz val="8"/>
      <name val="Calibri"/>
      <family val="2"/>
      <scheme val="minor"/>
    </font>
    <font>
      <b/>
      <sz val="14"/>
      <name val="Calibri"/>
    </font>
    <font>
      <i/>
      <sz val="10"/>
      <name val="Calibri"/>
    </font>
    <font>
      <i/>
      <sz val="9"/>
      <color rgb="FF666666"/>
      <name val="Calibri"/>
    </font>
    <font>
      <b/>
      <sz val="11"/>
      <color rgb="FFFFFFFF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1F4E78"/>
      </patternFill>
    </fill>
    <fill>
      <patternFill patternType="solid">
        <fgColor theme="4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9" fillId="0" borderId="0"/>
    <xf numFmtId="0" fontId="22" fillId="0" borderId="0" applyNumberFormat="0" applyFill="0" applyBorder="0" applyAlignment="0" applyProtection="0"/>
  </cellStyleXfs>
  <cellXfs count="113">
    <xf numFmtId="0" fontId="0" fillId="0" borderId="0" xfId="0"/>
    <xf numFmtId="0" fontId="5" fillId="0" borderId="0" xfId="2" applyFont="1"/>
    <xf numFmtId="0" fontId="4" fillId="0" borderId="0" xfId="2"/>
    <xf numFmtId="0" fontId="5" fillId="2" borderId="0" xfId="2" applyFont="1" applyFill="1" applyAlignment="1">
      <alignment horizontal="left"/>
    </xf>
    <xf numFmtId="0" fontId="4" fillId="0" borderId="0" xfId="2" applyAlignment="1">
      <alignment horizontal="left"/>
    </xf>
    <xf numFmtId="3" fontId="4" fillId="0" borderId="0" xfId="2" applyNumberFormat="1" applyAlignment="1">
      <alignment horizontal="right"/>
    </xf>
    <xf numFmtId="0" fontId="4" fillId="3" borderId="0" xfId="2" applyFill="1" applyAlignment="1">
      <alignment horizontal="left"/>
    </xf>
    <xf numFmtId="3" fontId="4" fillId="3" borderId="0" xfId="2" applyNumberFormat="1" applyFill="1" applyAlignment="1">
      <alignment horizontal="right"/>
    </xf>
    <xf numFmtId="9" fontId="4" fillId="0" borderId="0" xfId="1" applyFont="1"/>
    <xf numFmtId="0" fontId="7" fillId="0" borderId="0" xfId="2" applyFont="1" applyAlignment="1">
      <alignment horizontal="left"/>
    </xf>
    <xf numFmtId="0" fontId="0" fillId="0" borderId="3" xfId="0" applyBorder="1"/>
    <xf numFmtId="0" fontId="12" fillId="0" borderId="3" xfId="0" applyFont="1" applyBorder="1"/>
    <xf numFmtId="0" fontId="0" fillId="5" borderId="0" xfId="0" applyFill="1"/>
    <xf numFmtId="0" fontId="2" fillId="5" borderId="0" xfId="0" applyFont="1" applyFill="1"/>
    <xf numFmtId="0" fontId="0" fillId="4" borderId="4" xfId="0" applyFill="1" applyBorder="1" applyAlignment="1">
      <alignment horizontal="center"/>
    </xf>
    <xf numFmtId="14" fontId="0" fillId="4" borderId="4" xfId="0" applyNumberFormat="1" applyFill="1" applyBorder="1" applyAlignment="1">
      <alignment horizontal="center"/>
    </xf>
    <xf numFmtId="0" fontId="13" fillId="6" borderId="0" xfId="0" applyFont="1" applyFill="1"/>
    <xf numFmtId="0" fontId="14" fillId="6" borderId="0" xfId="0" applyFont="1" applyFill="1"/>
    <xf numFmtId="3" fontId="13" fillId="6" borderId="0" xfId="0" applyNumberFormat="1" applyFont="1" applyFill="1"/>
    <xf numFmtId="165" fontId="15" fillId="6" borderId="0" xfId="1" applyNumberFormat="1" applyFont="1" applyFill="1"/>
    <xf numFmtId="0" fontId="15" fillId="6" borderId="0" xfId="0" applyFont="1" applyFill="1"/>
    <xf numFmtId="0" fontId="16" fillId="0" borderId="0" xfId="0" applyFont="1"/>
    <xf numFmtId="3" fontId="0" fillId="0" borderId="0" xfId="0" applyNumberFormat="1"/>
    <xf numFmtId="3" fontId="17" fillId="6" borderId="0" xfId="0" applyNumberFormat="1" applyFont="1" applyFill="1"/>
    <xf numFmtId="3" fontId="18" fillId="0" borderId="0" xfId="0" applyNumberFormat="1" applyFont="1"/>
    <xf numFmtId="165" fontId="15" fillId="6" borderId="0" xfId="1" applyNumberFormat="1" applyFont="1" applyFill="1" applyBorder="1"/>
    <xf numFmtId="9" fontId="0" fillId="0" borderId="0" xfId="1" applyFont="1"/>
    <xf numFmtId="37" fontId="17" fillId="6" borderId="0" xfId="0" applyNumberFormat="1" applyFont="1" applyFill="1"/>
    <xf numFmtId="0" fontId="3" fillId="0" borderId="0" xfId="0" applyFont="1"/>
    <xf numFmtId="165" fontId="0" fillId="4" borderId="5" xfId="0" applyNumberFormat="1" applyFill="1" applyBorder="1" applyAlignment="1">
      <alignment horizontal="center"/>
    </xf>
    <xf numFmtId="3" fontId="13" fillId="0" borderId="0" xfId="0" applyNumberFormat="1" applyFont="1"/>
    <xf numFmtId="165" fontId="16" fillId="0" borderId="0" xfId="1" applyNumberFormat="1" applyFont="1"/>
    <xf numFmtId="165" fontId="16" fillId="0" borderId="0" xfId="1" applyNumberFormat="1" applyFont="1" applyFill="1" applyBorder="1"/>
    <xf numFmtId="165" fontId="13" fillId="6" borderId="0" xfId="1" applyNumberFormat="1" applyFont="1" applyFill="1"/>
    <xf numFmtId="6" fontId="13" fillId="6" borderId="0" xfId="0" applyNumberFormat="1" applyFont="1" applyFill="1"/>
    <xf numFmtId="165" fontId="0" fillId="0" borderId="0" xfId="0" applyNumberFormat="1"/>
    <xf numFmtId="1" fontId="0" fillId="0" borderId="0" xfId="0" applyNumberFormat="1"/>
    <xf numFmtId="165" fontId="0" fillId="0" borderId="0" xfId="1" applyNumberFormat="1" applyFont="1"/>
    <xf numFmtId="3" fontId="20" fillId="6" borderId="0" xfId="0" applyNumberFormat="1" applyFont="1" applyFill="1"/>
    <xf numFmtId="37" fontId="18" fillId="0" borderId="0" xfId="0" applyNumberFormat="1" applyFont="1"/>
    <xf numFmtId="37" fontId="13" fillId="0" borderId="0" xfId="0" applyNumberFormat="1" applyFont="1"/>
    <xf numFmtId="14" fontId="0" fillId="0" borderId="0" xfId="0" applyNumberFormat="1"/>
    <xf numFmtId="0" fontId="0" fillId="0" borderId="0" xfId="0" quotePrefix="1"/>
    <xf numFmtId="167" fontId="0" fillId="0" borderId="0" xfId="0" applyNumberFormat="1"/>
    <xf numFmtId="168" fontId="0" fillId="0" borderId="0" xfId="1" applyNumberFormat="1" applyFont="1"/>
    <xf numFmtId="165" fontId="19" fillId="0" borderId="0" xfId="1" applyNumberFormat="1" applyFont="1" applyFill="1" applyBorder="1"/>
    <xf numFmtId="166" fontId="16" fillId="0" borderId="0" xfId="1" applyNumberFormat="1" applyFont="1"/>
    <xf numFmtId="166" fontId="16" fillId="0" borderId="0" xfId="1" applyNumberFormat="1" applyFont="1" applyBorder="1"/>
    <xf numFmtId="3" fontId="17" fillId="6" borderId="10" xfId="0" applyNumberFormat="1" applyFont="1" applyFill="1" applyBorder="1"/>
    <xf numFmtId="165" fontId="15" fillId="6" borderId="10" xfId="1" applyNumberFormat="1" applyFont="1" applyFill="1" applyBorder="1"/>
    <xf numFmtId="0" fontId="13" fillId="6" borderId="10" xfId="0" applyFont="1" applyFill="1" applyBorder="1"/>
    <xf numFmtId="3" fontId="13" fillId="6" borderId="10" xfId="0" applyNumberFormat="1" applyFont="1" applyFill="1" applyBorder="1"/>
    <xf numFmtId="0" fontId="0" fillId="0" borderId="10" xfId="0" applyBorder="1"/>
    <xf numFmtId="3" fontId="18" fillId="0" borderId="10" xfId="0" applyNumberFormat="1" applyFont="1" applyBorder="1"/>
    <xf numFmtId="165" fontId="16" fillId="0" borderId="10" xfId="1" applyNumberFormat="1" applyFont="1" applyBorder="1"/>
    <xf numFmtId="37" fontId="18" fillId="0" borderId="10" xfId="0" applyNumberFormat="1" applyFont="1" applyBorder="1"/>
    <xf numFmtId="166" fontId="16" fillId="0" borderId="10" xfId="1" applyNumberFormat="1" applyFont="1" applyBorder="1"/>
    <xf numFmtId="0" fontId="0" fillId="0" borderId="9" xfId="0" applyBorder="1"/>
    <xf numFmtId="37" fontId="13" fillId="0" borderId="3" xfId="0" applyNumberFormat="1" applyFont="1" applyBorder="1"/>
    <xf numFmtId="0" fontId="0" fillId="0" borderId="3" xfId="0" quotePrefix="1" applyBorder="1"/>
    <xf numFmtId="167" fontId="3" fillId="0" borderId="0" xfId="0" applyNumberFormat="1" applyFont="1"/>
    <xf numFmtId="37" fontId="14" fillId="0" borderId="0" xfId="0" applyNumberFormat="1" applyFont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37" fontId="3" fillId="0" borderId="7" xfId="0" applyNumberFormat="1" applyFont="1" applyBorder="1"/>
    <xf numFmtId="3" fontId="3" fillId="0" borderId="7" xfId="0" applyNumberFormat="1" applyFont="1" applyBorder="1"/>
    <xf numFmtId="165" fontId="0" fillId="4" borderId="5" xfId="0" applyNumberFormat="1" applyFill="1" applyBorder="1" applyAlignment="1">
      <alignment horizontal="right"/>
    </xf>
    <xf numFmtId="165" fontId="0" fillId="0" borderId="0" xfId="0" applyNumberFormat="1" applyAlignment="1">
      <alignment horizontal="right"/>
    </xf>
    <xf numFmtId="0" fontId="0" fillId="4" borderId="5" xfId="0" applyFill="1" applyBorder="1" applyAlignment="1">
      <alignment horizontal="right"/>
    </xf>
    <xf numFmtId="0" fontId="3" fillId="7" borderId="6" xfId="0" applyFont="1" applyFill="1" applyBorder="1"/>
    <xf numFmtId="0" fontId="0" fillId="7" borderId="7" xfId="0" applyFill="1" applyBorder="1"/>
    <xf numFmtId="10" fontId="3" fillId="7" borderId="8" xfId="0" applyNumberFormat="1" applyFont="1" applyFill="1" applyBorder="1"/>
    <xf numFmtId="169" fontId="0" fillId="0" borderId="5" xfId="0" applyNumberFormat="1" applyBorder="1" applyAlignment="1">
      <alignment horizontal="center"/>
    </xf>
    <xf numFmtId="166" fontId="0" fillId="0" borderId="5" xfId="0" applyNumberFormat="1" applyBorder="1" applyAlignment="1">
      <alignment horizontal="center"/>
    </xf>
    <xf numFmtId="3" fontId="0" fillId="0" borderId="11" xfId="0" applyNumberFormat="1" applyBorder="1" applyAlignment="1">
      <alignment horizontal="right"/>
    </xf>
    <xf numFmtId="170" fontId="0" fillId="0" borderId="11" xfId="0" applyNumberFormat="1" applyBorder="1" applyAlignment="1">
      <alignment horizontal="right"/>
    </xf>
    <xf numFmtId="170" fontId="0" fillId="0" borderId="5" xfId="0" applyNumberFormat="1" applyBorder="1" applyAlignment="1">
      <alignment horizontal="right"/>
    </xf>
    <xf numFmtId="37" fontId="0" fillId="0" borderId="0" xfId="0" applyNumberFormat="1"/>
    <xf numFmtId="2" fontId="16" fillId="0" borderId="0" xfId="1" applyNumberFormat="1" applyFont="1"/>
    <xf numFmtId="165" fontId="0" fillId="5" borderId="0" xfId="1" applyNumberFormat="1" applyFont="1" applyFill="1"/>
    <xf numFmtId="0" fontId="23" fillId="5" borderId="0" xfId="0" applyFont="1" applyFill="1"/>
    <xf numFmtId="0" fontId="4" fillId="6" borderId="0" xfId="2" applyFill="1" applyAlignment="1">
      <alignment horizontal="left"/>
    </xf>
    <xf numFmtId="0" fontId="24" fillId="6" borderId="0" xfId="2" applyFont="1" applyFill="1" applyAlignment="1">
      <alignment horizontal="left"/>
    </xf>
    <xf numFmtId="0" fontId="4" fillId="8" borderId="0" xfId="2" applyFill="1"/>
    <xf numFmtId="9" fontId="4" fillId="3" borderId="0" xfId="1" applyFont="1" applyFill="1" applyAlignment="1">
      <alignment horizontal="right"/>
    </xf>
    <xf numFmtId="1" fontId="2" fillId="5" borderId="0" xfId="0" applyNumberFormat="1" applyFont="1" applyFill="1"/>
    <xf numFmtId="1" fontId="2" fillId="5" borderId="10" xfId="0" applyNumberFormat="1" applyFont="1" applyFill="1" applyBorder="1"/>
    <xf numFmtId="0" fontId="4" fillId="0" borderId="2" xfId="2" applyBorder="1"/>
    <xf numFmtId="0" fontId="4" fillId="0" borderId="1" xfId="2" applyBorder="1"/>
    <xf numFmtId="0" fontId="5" fillId="0" borderId="0" xfId="2" applyFont="1" applyAlignment="1">
      <alignment horizontal="left"/>
    </xf>
    <xf numFmtId="0" fontId="8" fillId="0" borderId="0" xfId="2" applyFont="1" applyAlignment="1">
      <alignment horizontal="left"/>
    </xf>
    <xf numFmtId="3" fontId="11" fillId="0" borderId="0" xfId="3" applyNumberFormat="1" applyFont="1" applyAlignment="1">
      <alignment horizontal="right"/>
    </xf>
    <xf numFmtId="0" fontId="4" fillId="0" borderId="0" xfId="2" applyAlignment="1">
      <alignment horizontal="left" indent="1"/>
    </xf>
    <xf numFmtId="3" fontId="10" fillId="0" borderId="0" xfId="3" applyNumberFormat="1" applyFont="1" applyAlignment="1">
      <alignment horizontal="right"/>
    </xf>
    <xf numFmtId="3" fontId="9" fillId="0" borderId="0" xfId="3" applyNumberFormat="1" applyAlignment="1">
      <alignment horizontal="right"/>
    </xf>
    <xf numFmtId="0" fontId="8" fillId="0" borderId="0" xfId="2" applyFont="1" applyAlignment="1">
      <alignment horizontal="left" indent="3"/>
    </xf>
    <xf numFmtId="3" fontId="8" fillId="0" borderId="0" xfId="2" applyNumberFormat="1" applyFont="1" applyAlignment="1">
      <alignment horizontal="right"/>
    </xf>
    <xf numFmtId="0" fontId="4" fillId="0" borderId="0" xfId="2" applyAlignment="1">
      <alignment horizontal="left" indent="4"/>
    </xf>
    <xf numFmtId="0" fontId="8" fillId="0" borderId="0" xfId="2" applyFont="1" applyAlignment="1">
      <alignment horizontal="left" indent="6"/>
    </xf>
    <xf numFmtId="0" fontId="4" fillId="0" borderId="0" xfId="2" applyAlignment="1">
      <alignment horizontal="left" indent="7"/>
    </xf>
    <xf numFmtId="0" fontId="8" fillId="0" borderId="0" xfId="2" applyFont="1" applyAlignment="1">
      <alignment horizontal="left" indent="9"/>
    </xf>
    <xf numFmtId="0" fontId="4" fillId="0" borderId="0" xfId="2" applyAlignment="1">
      <alignment horizontal="left" indent="10"/>
    </xf>
    <xf numFmtId="164" fontId="8" fillId="0" borderId="0" xfId="2" applyNumberFormat="1" applyFont="1" applyAlignment="1">
      <alignment horizontal="right"/>
    </xf>
    <xf numFmtId="164" fontId="6" fillId="0" borderId="0" xfId="2" applyNumberFormat="1" applyFont="1" applyAlignment="1">
      <alignment horizontal="right"/>
    </xf>
    <xf numFmtId="164" fontId="4" fillId="0" borderId="0" xfId="2" applyNumberFormat="1" applyAlignment="1">
      <alignment horizontal="right"/>
    </xf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9" borderId="0" xfId="0" applyFont="1" applyFill="1" applyAlignment="1">
      <alignment horizontal="center" vertical="center"/>
    </xf>
    <xf numFmtId="0" fontId="0" fillId="0" borderId="12" xfId="0" applyBorder="1"/>
    <xf numFmtId="3" fontId="0" fillId="0" borderId="12" xfId="0" applyNumberFormat="1" applyBorder="1"/>
    <xf numFmtId="0" fontId="29" fillId="10" borderId="0" xfId="0" applyFont="1" applyFill="1" applyAlignment="1">
      <alignment horizontal="center" vertical="center"/>
    </xf>
  </cellXfs>
  <cellStyles count="5">
    <cellStyle name="Hipervínculo" xfId="3" builtinId="8"/>
    <cellStyle name="Hyperlink 2" xfId="4" xr:uid="{1692867E-D475-0248-A8B5-6AFE72F599CD}"/>
    <cellStyle name="Normal" xfId="0" builtinId="0"/>
    <cellStyle name="Normal 2" xfId="2" xr:uid="{A2D1003C-8034-459A-B554-420F0A7D1C00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ben/Desktop/rareliquid/Excels/rareliquid%20-%20Advanced%20DCF%20-%20Part%202.xlsx" TargetMode="External"/><Relationship Id="rId1" Type="http://schemas.openxmlformats.org/officeDocument/2006/relationships/externalLinkPath" Target="/Users/ben/Desktop/rareliquid/Excels/rareliquid%20-%20Advanced%20DCF%20-%20Part%202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fc5d5c8c4852779/Desktop/2024.08.13%20-%20Burger%20King%20LBO%20Stream%20-%20Part%202.xlsx" TargetMode="External"/><Relationship Id="rId1" Type="http://schemas.openxmlformats.org/officeDocument/2006/relationships/externalLinkPath" Target="https://d.docs.live.net/4fc5d5c8c4852779/Desktop/Models/DCF/Models/LBOs/2024.08.13%20-%20Burger%20King%20LBO%20Stream%20-%20Part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perating Model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LBO"/>
      <sheetName val="Shares"/>
    </sheetNames>
    <sheetDataSet>
      <sheetData sheetId="0"/>
      <sheetData sheetId="1">
        <row r="6">
          <cell r="E6" t="str">
            <v>OFF</v>
          </cell>
        </row>
        <row r="8">
          <cell r="E8">
            <v>2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D1782-985A-4F6E-8405-30EA8D9C5EDB}">
  <dimension ref="A1:B1"/>
  <sheetViews>
    <sheetView workbookViewId="0"/>
  </sheetViews>
  <sheetFormatPr baseColWidth="10" defaultColWidth="8.81640625" defaultRowHeight="14.5" x14ac:dyDescent="0.35"/>
  <sheetData>
    <row r="1" spans="1:2" x14ac:dyDescent="0.35">
      <c r="B1" t="s">
        <v>69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BC268-C7FB-B94E-B2FB-D48B570B343D}">
  <dimension ref="A2:AD63"/>
  <sheetViews>
    <sheetView showGridLines="0" tabSelected="1" topLeftCell="A28" zoomScale="94" zoomScaleNormal="170" workbookViewId="0">
      <selection activeCell="E44" sqref="E44"/>
    </sheetView>
  </sheetViews>
  <sheetFormatPr baseColWidth="10" defaultColWidth="9.54296875" defaultRowHeight="14.5" outlineLevelRow="1" outlineLevelCol="1" x14ac:dyDescent="0.35"/>
  <cols>
    <col min="1" max="1" width="3.54296875" customWidth="1"/>
    <col min="5" max="10" width="9.54296875" customWidth="1" outlineLevel="1"/>
    <col min="11" max="18" width="9.54296875" customWidth="1"/>
    <col min="22" max="26" width="10.453125" bestFit="1" customWidth="1"/>
    <col min="27" max="27" width="12" bestFit="1" customWidth="1"/>
    <col min="30" max="30" width="10.453125" bestFit="1" customWidth="1"/>
  </cols>
  <sheetData>
    <row r="2" spans="1:18" s="10" customFormat="1" ht="21" x14ac:dyDescent="0.5">
      <c r="B2" s="11" t="s">
        <v>45</v>
      </c>
    </row>
    <row r="4" spans="1:18" x14ac:dyDescent="0.35">
      <c r="A4" t="s">
        <v>48</v>
      </c>
      <c r="B4" t="s">
        <v>46</v>
      </c>
      <c r="C4" s="14" t="s">
        <v>119</v>
      </c>
      <c r="E4" t="s">
        <v>76</v>
      </c>
      <c r="G4" s="73"/>
      <c r="M4" s="43"/>
      <c r="R4" s="44"/>
    </row>
    <row r="5" spans="1:18" x14ac:dyDescent="0.35">
      <c r="B5" t="s">
        <v>47</v>
      </c>
      <c r="C5" s="15">
        <v>44766</v>
      </c>
      <c r="E5" t="s">
        <v>79</v>
      </c>
      <c r="G5" s="73"/>
      <c r="I5" t="s">
        <v>92</v>
      </c>
      <c r="K5" s="74"/>
      <c r="M5" s="43"/>
    </row>
    <row r="7" spans="1:18" x14ac:dyDescent="0.35">
      <c r="A7" t="s">
        <v>48</v>
      </c>
      <c r="B7" s="13" t="s">
        <v>49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</row>
    <row r="8" spans="1:18" x14ac:dyDescent="0.35">
      <c r="B8" s="28" t="s">
        <v>68</v>
      </c>
    </row>
    <row r="9" spans="1:18" x14ac:dyDescent="0.35">
      <c r="B9" t="s">
        <v>66</v>
      </c>
      <c r="D9" s="29">
        <f>WACC!D22</f>
        <v>7.8205784413158272E-2</v>
      </c>
      <c r="I9" t="s">
        <v>93</v>
      </c>
    </row>
    <row r="10" spans="1:18" x14ac:dyDescent="0.35">
      <c r="B10" t="s">
        <v>67</v>
      </c>
      <c r="D10" s="29">
        <v>0.03</v>
      </c>
    </row>
    <row r="11" spans="1:18" outlineLevel="1" x14ac:dyDescent="0.35">
      <c r="I11">
        <v>1</v>
      </c>
      <c r="J11">
        <v>2</v>
      </c>
      <c r="K11">
        <v>3</v>
      </c>
      <c r="L11">
        <v>4</v>
      </c>
      <c r="M11">
        <v>5</v>
      </c>
      <c r="N11">
        <v>6</v>
      </c>
    </row>
    <row r="12" spans="1:18" outlineLevel="1" x14ac:dyDescent="0.35">
      <c r="A12" t="s">
        <v>48</v>
      </c>
      <c r="B12" s="13" t="s">
        <v>50</v>
      </c>
      <c r="C12" s="12"/>
      <c r="D12" s="12"/>
      <c r="E12" s="86">
        <v>2022</v>
      </c>
      <c r="F12" s="86">
        <v>2023</v>
      </c>
      <c r="G12" s="86">
        <v>2024</v>
      </c>
      <c r="H12" s="86">
        <v>2025</v>
      </c>
      <c r="I12" s="87">
        <v>2026</v>
      </c>
      <c r="J12" s="86">
        <v>2027</v>
      </c>
      <c r="K12" s="86">
        <v>2028</v>
      </c>
      <c r="L12" s="86">
        <v>2029</v>
      </c>
      <c r="M12" s="86">
        <v>2030</v>
      </c>
      <c r="N12" s="86">
        <v>2031</v>
      </c>
    </row>
    <row r="13" spans="1:18" s="16" customFormat="1" outlineLevel="1" x14ac:dyDescent="0.35">
      <c r="B13" s="16" t="s">
        <v>53</v>
      </c>
      <c r="E13" s="23">
        <f>IS!K5</f>
        <v>9000</v>
      </c>
      <c r="F13" s="23">
        <f>IS!L5</f>
        <v>8990</v>
      </c>
      <c r="G13" s="23">
        <f>IS!M5</f>
        <v>9972</v>
      </c>
      <c r="H13" s="23">
        <f>IS!N5</f>
        <v>8164</v>
      </c>
      <c r="I13" s="48" t="str">
        <f>IS!J5</f>
        <v>-</v>
      </c>
      <c r="J13" s="23">
        <f>IS!K5</f>
        <v>9000</v>
      </c>
      <c r="K13" s="23">
        <f>IS!L5</f>
        <v>8990</v>
      </c>
      <c r="L13" s="23">
        <f>IS!M5</f>
        <v>9972</v>
      </c>
      <c r="M13" s="23">
        <f>IS!N5</f>
        <v>8164</v>
      </c>
      <c r="N13" s="23" t="str">
        <f>IS!O5</f>
        <v>-</v>
      </c>
    </row>
    <row r="14" spans="1:18" s="16" customFormat="1" outlineLevel="1" x14ac:dyDescent="0.35">
      <c r="B14" s="20" t="s">
        <v>54</v>
      </c>
      <c r="E14" s="19"/>
      <c r="F14" s="19">
        <f>F13/E13-1</f>
        <v>-1.1111111111110628E-3</v>
      </c>
      <c r="G14" s="19">
        <f t="shared" ref="G14:N14" si="0">G13/F13-1</f>
        <v>0.10923248053392665</v>
      </c>
      <c r="H14" s="19">
        <f t="shared" si="0"/>
        <v>-0.18130766145206578</v>
      </c>
      <c r="I14" s="49" t="e">
        <f t="shared" si="0"/>
        <v>#VALUE!</v>
      </c>
      <c r="J14" s="25" t="e">
        <f t="shared" si="0"/>
        <v>#VALUE!</v>
      </c>
      <c r="K14" s="19">
        <f t="shared" si="0"/>
        <v>-1.1111111111110628E-3</v>
      </c>
      <c r="L14" s="19">
        <f t="shared" si="0"/>
        <v>0.10923248053392665</v>
      </c>
      <c r="M14" s="19">
        <f t="shared" si="0"/>
        <v>-0.18130766145206578</v>
      </c>
      <c r="N14" s="19" t="e">
        <f t="shared" si="0"/>
        <v>#VALUE!</v>
      </c>
    </row>
    <row r="15" spans="1:18" s="16" customFormat="1" outlineLevel="1" x14ac:dyDescent="0.35">
      <c r="B15" s="17"/>
      <c r="I15" s="50"/>
    </row>
    <row r="16" spans="1:18" s="16" customFormat="1" outlineLevel="1" x14ac:dyDescent="0.35">
      <c r="B16" s="16" t="s">
        <v>55</v>
      </c>
      <c r="E16" s="23" t="e">
        <f>IS!K15-IS!K18</f>
        <v>#VALUE!</v>
      </c>
      <c r="F16" s="23">
        <f>IS!L15-IS!L18</f>
        <v>2236</v>
      </c>
      <c r="G16" s="23">
        <f>IS!M15-IS!M18</f>
        <v>2180</v>
      </c>
      <c r="H16" s="23">
        <f>IS!N15-IS!N18</f>
        <v>1204</v>
      </c>
      <c r="I16" s="23" t="e">
        <f>IS!O15-IS!O18</f>
        <v>#VALUE!</v>
      </c>
      <c r="J16" s="23" t="str">
        <f>IS!K19</f>
        <v>-</v>
      </c>
      <c r="K16" s="23">
        <f>IS!L19</f>
        <v>2189</v>
      </c>
      <c r="L16" s="23">
        <f>IS!M19</f>
        <v>2129</v>
      </c>
      <c r="M16" s="23">
        <f>IS!N19</f>
        <v>1087</v>
      </c>
      <c r="N16" s="23" t="str">
        <f>IS!O19</f>
        <v>-</v>
      </c>
    </row>
    <row r="17" spans="1:14" s="16" customFormat="1" outlineLevel="1" x14ac:dyDescent="0.35">
      <c r="B17" s="20" t="s">
        <v>56</v>
      </c>
      <c r="E17" s="19" t="e">
        <f t="shared" ref="E17:N17" si="1">E16/E13</f>
        <v>#VALUE!</v>
      </c>
      <c r="F17" s="19">
        <f t="shared" si="1"/>
        <v>0.24872080088987764</v>
      </c>
      <c r="G17" s="19">
        <f t="shared" si="1"/>
        <v>0.21861211391897312</v>
      </c>
      <c r="H17" s="19">
        <f t="shared" si="1"/>
        <v>0.1474767270945615</v>
      </c>
      <c r="I17" s="49" t="e">
        <f t="shared" si="1"/>
        <v>#VALUE!</v>
      </c>
      <c r="J17" s="25" t="e">
        <f t="shared" si="1"/>
        <v>#VALUE!</v>
      </c>
      <c r="K17" s="19">
        <f t="shared" si="1"/>
        <v>0.24349276974416018</v>
      </c>
      <c r="L17" s="19">
        <f t="shared" si="1"/>
        <v>0.21349779382270356</v>
      </c>
      <c r="M17" s="19">
        <f t="shared" si="1"/>
        <v>0.1331455169034787</v>
      </c>
      <c r="N17" s="19" t="e">
        <f t="shared" si="1"/>
        <v>#VALUE!</v>
      </c>
    </row>
    <row r="18" spans="1:14" s="16" customFormat="1" outlineLevel="1" x14ac:dyDescent="0.35">
      <c r="I18" s="50"/>
    </row>
    <row r="19" spans="1:14" s="16" customFormat="1" outlineLevel="1" x14ac:dyDescent="0.35">
      <c r="B19" s="16" t="s">
        <v>57</v>
      </c>
      <c r="E19" s="23" t="str">
        <f>IS!F27</f>
        <v>-</v>
      </c>
      <c r="F19" s="23">
        <f>IS!L27</f>
        <v>-438</v>
      </c>
      <c r="G19" s="23">
        <f>IS!M27</f>
        <v>-552</v>
      </c>
      <c r="H19" s="23">
        <f>IS!N27</f>
        <v>-275</v>
      </c>
      <c r="I19" s="23" t="str">
        <f>IS!O27</f>
        <v>-</v>
      </c>
      <c r="J19" s="23" t="str">
        <f>IS!K27</f>
        <v>-</v>
      </c>
      <c r="K19" s="23">
        <f>IS!L27</f>
        <v>-438</v>
      </c>
      <c r="L19" s="23">
        <f>IS!M27</f>
        <v>-552</v>
      </c>
      <c r="M19" s="23">
        <f>IS!N27</f>
        <v>-275</v>
      </c>
      <c r="N19" s="23" t="str">
        <f>IS!O27</f>
        <v>-</v>
      </c>
    </row>
    <row r="20" spans="1:14" s="16" customFormat="1" outlineLevel="1" x14ac:dyDescent="0.35">
      <c r="B20" s="20" t="s">
        <v>58</v>
      </c>
      <c r="E20" s="19" t="e">
        <f t="shared" ref="E20:N20" si="2">E19/E16</f>
        <v>#VALUE!</v>
      </c>
      <c r="F20" s="19">
        <f>F19/F16</f>
        <v>-0.19588550983899822</v>
      </c>
      <c r="G20" s="19">
        <f t="shared" si="2"/>
        <v>-0.25321100917431194</v>
      </c>
      <c r="H20" s="19">
        <f t="shared" si="2"/>
        <v>-0.22840531561461794</v>
      </c>
      <c r="I20" s="49" t="e">
        <f t="shared" si="2"/>
        <v>#VALUE!</v>
      </c>
      <c r="J20" s="25" t="e">
        <f t="shared" si="2"/>
        <v>#VALUE!</v>
      </c>
      <c r="K20" s="19">
        <f t="shared" si="2"/>
        <v>-0.20009136592051166</v>
      </c>
      <c r="L20" s="19">
        <f t="shared" si="2"/>
        <v>-0.25927665570690467</v>
      </c>
      <c r="M20" s="19">
        <f t="shared" si="2"/>
        <v>-0.25298988040478382</v>
      </c>
      <c r="N20" s="19" t="e">
        <f t="shared" si="2"/>
        <v>#VALUE!</v>
      </c>
    </row>
    <row r="21" spans="1:14" s="16" customFormat="1" outlineLevel="1" x14ac:dyDescent="0.35">
      <c r="I21" s="50"/>
    </row>
    <row r="22" spans="1:14" outlineLevel="1" x14ac:dyDescent="0.35">
      <c r="A22" t="s">
        <v>48</v>
      </c>
      <c r="B22" s="13" t="s">
        <v>51</v>
      </c>
      <c r="C22" s="12"/>
      <c r="D22" s="12"/>
      <c r="E22" s="86">
        <v>2022</v>
      </c>
      <c r="F22" s="86">
        <v>2023</v>
      </c>
      <c r="G22" s="86">
        <v>2024</v>
      </c>
      <c r="H22" s="86">
        <v>2025</v>
      </c>
      <c r="I22" s="87">
        <v>2026</v>
      </c>
      <c r="J22" s="86">
        <v>2028</v>
      </c>
      <c r="K22" s="86">
        <v>2029</v>
      </c>
      <c r="L22" s="86">
        <v>2030</v>
      </c>
      <c r="M22" s="86">
        <v>2031</v>
      </c>
      <c r="N22" s="86">
        <v>2032</v>
      </c>
    </row>
    <row r="23" spans="1:14" s="16" customFormat="1" outlineLevel="1" x14ac:dyDescent="0.35">
      <c r="B23" s="16" t="s">
        <v>59</v>
      </c>
      <c r="E23" s="23" t="str">
        <f>IS!K18</f>
        <v>-</v>
      </c>
      <c r="F23" s="23">
        <f>IS!L18</f>
        <v>769</v>
      </c>
      <c r="G23" s="23">
        <f>IS!M18</f>
        <v>849</v>
      </c>
      <c r="H23" s="23">
        <f>IS!N18</f>
        <v>969</v>
      </c>
      <c r="I23" s="23" t="str">
        <f>IS!O18</f>
        <v>-</v>
      </c>
      <c r="J23" s="38">
        <v>38716.438000000002</v>
      </c>
      <c r="K23" s="38">
        <v>44728.72</v>
      </c>
      <c r="L23" s="38">
        <v>52136.97</v>
      </c>
      <c r="M23" s="38">
        <v>55507.54</v>
      </c>
      <c r="N23" s="38">
        <v>58234.55</v>
      </c>
    </row>
    <row r="24" spans="1:14" s="16" customFormat="1" outlineLevel="1" x14ac:dyDescent="0.35">
      <c r="B24" s="20" t="s">
        <v>56</v>
      </c>
      <c r="E24" s="19" t="e">
        <f t="shared" ref="E24:N24" si="3">E23/E13</f>
        <v>#VALUE!</v>
      </c>
      <c r="F24" s="19">
        <f t="shared" si="3"/>
        <v>8.5539488320355947E-2</v>
      </c>
      <c r="G24" s="19">
        <f t="shared" si="3"/>
        <v>8.5138387484957875E-2</v>
      </c>
      <c r="H24" s="19">
        <f t="shared" si="3"/>
        <v>0.11869181773640372</v>
      </c>
      <c r="I24" s="49" t="e">
        <f t="shared" si="3"/>
        <v>#VALUE!</v>
      </c>
      <c r="J24" s="25">
        <f t="shared" si="3"/>
        <v>4.301826444444445</v>
      </c>
      <c r="K24" s="19">
        <f t="shared" si="3"/>
        <v>4.9753859844271418</v>
      </c>
      <c r="L24" s="19">
        <f t="shared" si="3"/>
        <v>5.2283363417569193</v>
      </c>
      <c r="M24" s="19">
        <f t="shared" si="3"/>
        <v>6.7990617344439004</v>
      </c>
      <c r="N24" s="19" t="e">
        <f t="shared" si="3"/>
        <v>#VALUE!</v>
      </c>
    </row>
    <row r="25" spans="1:14" s="16" customFormat="1" outlineLevel="1" x14ac:dyDescent="0.35">
      <c r="E25" s="18"/>
      <c r="F25" s="18"/>
      <c r="G25" s="18"/>
      <c r="H25" s="18"/>
      <c r="I25" s="51"/>
      <c r="J25" s="18"/>
      <c r="K25" s="18"/>
      <c r="L25" s="18"/>
      <c r="M25" s="18"/>
      <c r="N25" s="18"/>
    </row>
    <row r="26" spans="1:14" s="16" customFormat="1" outlineLevel="1" x14ac:dyDescent="0.35">
      <c r="B26" s="16" t="s">
        <v>60</v>
      </c>
      <c r="E26" s="23">
        <f>IS!K11</f>
        <v>1132</v>
      </c>
      <c r="F26" s="23">
        <f>IS!L11</f>
        <v>1297</v>
      </c>
      <c r="G26" s="23">
        <f>IS!M11</f>
        <v>1442</v>
      </c>
      <c r="H26" s="23">
        <f>IS!N11</f>
        <v>1360</v>
      </c>
      <c r="I26" s="23" t="str">
        <f>IS!O11</f>
        <v>-</v>
      </c>
      <c r="J26" s="38">
        <v>61050.722999999998</v>
      </c>
      <c r="K26" s="38">
        <v>62598.887000000002</v>
      </c>
      <c r="L26" s="38">
        <v>64481.453000000001</v>
      </c>
      <c r="M26" s="38">
        <v>69493.41</v>
      </c>
      <c r="N26" s="38">
        <v>65697</v>
      </c>
    </row>
    <row r="27" spans="1:14" s="16" customFormat="1" outlineLevel="1" x14ac:dyDescent="0.35">
      <c r="B27" s="20" t="s">
        <v>56</v>
      </c>
      <c r="E27" s="19">
        <f t="shared" ref="E27:N27" si="4">E26/E13</f>
        <v>0.12577777777777777</v>
      </c>
      <c r="F27" s="19">
        <f t="shared" si="4"/>
        <v>0.14427141268075638</v>
      </c>
      <c r="G27" s="19">
        <f t="shared" si="4"/>
        <v>0.14460489370236662</v>
      </c>
      <c r="H27" s="19">
        <f t="shared" si="4"/>
        <v>0.16658500734933857</v>
      </c>
      <c r="I27" s="49" t="e">
        <f t="shared" si="4"/>
        <v>#VALUE!</v>
      </c>
      <c r="J27" s="25">
        <f t="shared" si="4"/>
        <v>6.7834136666666662</v>
      </c>
      <c r="K27" s="19">
        <f t="shared" si="4"/>
        <v>6.9631687430478308</v>
      </c>
      <c r="L27" s="19">
        <f t="shared" si="4"/>
        <v>6.4662508022462895</v>
      </c>
      <c r="M27" s="19">
        <f t="shared" si="4"/>
        <v>8.5121766291033811</v>
      </c>
      <c r="N27" s="19" t="e">
        <f t="shared" si="4"/>
        <v>#VALUE!</v>
      </c>
    </row>
    <row r="28" spans="1:14" s="16" customFormat="1" outlineLevel="1" x14ac:dyDescent="0.35">
      <c r="E28" s="18"/>
      <c r="F28" s="18"/>
      <c r="G28" s="18"/>
      <c r="H28" s="18"/>
      <c r="I28" s="51"/>
      <c r="J28" s="18"/>
      <c r="K28" s="18"/>
      <c r="L28" s="18"/>
      <c r="M28" s="18"/>
      <c r="N28" s="18"/>
    </row>
    <row r="29" spans="1:14" s="16" customFormat="1" outlineLevel="1" x14ac:dyDescent="0.35">
      <c r="B29" s="16" t="s">
        <v>61</v>
      </c>
      <c r="E29" s="27"/>
      <c r="F29" s="27">
        <f>(CFS!D9-CFS!D12)-(CFS!C9-CFS!C12)</f>
        <v>-708</v>
      </c>
      <c r="G29" s="27">
        <f>(CFS!E9-CFS!E12)-(CFS!D9-CFS!D12)</f>
        <v>-1901</v>
      </c>
      <c r="H29" s="27">
        <f>(CFS!F9-CFS!F12)-(CFS!E9-CFS!E12)</f>
        <v>-323</v>
      </c>
      <c r="I29" s="27">
        <f>(CFS!G9-CFS!G12)-(CFS!F9-CFS!F12)</f>
        <v>3925</v>
      </c>
      <c r="J29" s="18"/>
      <c r="K29" s="18"/>
      <c r="L29" s="18"/>
      <c r="M29" s="18"/>
      <c r="N29" s="18"/>
    </row>
    <row r="30" spans="1:14" s="16" customFormat="1" outlineLevel="1" x14ac:dyDescent="0.35">
      <c r="B30" s="20" t="s">
        <v>56</v>
      </c>
      <c r="E30" s="46">
        <f>E29/E13</f>
        <v>0</v>
      </c>
      <c r="F30" s="46">
        <f>F29/F13</f>
        <v>-7.8754171301446046E-2</v>
      </c>
      <c r="G30" s="46">
        <f>G29/G13</f>
        <v>-0.19063377456879263</v>
      </c>
      <c r="H30" s="46">
        <f>H29/H13</f>
        <v>-3.9563939245467909E-2</v>
      </c>
      <c r="I30" s="56" t="e">
        <f>I29/I13</f>
        <v>#VALUE!</v>
      </c>
      <c r="J30" s="25"/>
      <c r="K30" s="19"/>
      <c r="L30" s="19"/>
      <c r="M30" s="19"/>
      <c r="N30" s="19"/>
    </row>
    <row r="31" spans="1:14" x14ac:dyDescent="0.35">
      <c r="I31" s="52">
        <v>1</v>
      </c>
      <c r="J31">
        <v>2</v>
      </c>
      <c r="K31">
        <v>3</v>
      </c>
      <c r="L31">
        <v>4</v>
      </c>
      <c r="M31">
        <v>5</v>
      </c>
      <c r="N31">
        <v>6</v>
      </c>
    </row>
    <row r="32" spans="1:14" x14ac:dyDescent="0.35">
      <c r="A32" t="s">
        <v>48</v>
      </c>
      <c r="B32" s="13" t="s">
        <v>52</v>
      </c>
      <c r="C32" s="12"/>
      <c r="D32" s="12"/>
      <c r="E32" s="86">
        <f>E22</f>
        <v>2022</v>
      </c>
      <c r="F32" s="86">
        <f t="shared" ref="F32:N32" si="5">F22</f>
        <v>2023</v>
      </c>
      <c r="G32" s="86">
        <f t="shared" si="5"/>
        <v>2024</v>
      </c>
      <c r="H32" s="86">
        <f t="shared" si="5"/>
        <v>2025</v>
      </c>
      <c r="I32" s="86">
        <f t="shared" si="5"/>
        <v>2026</v>
      </c>
      <c r="J32" s="86">
        <f t="shared" si="5"/>
        <v>2028</v>
      </c>
      <c r="K32" s="86">
        <f t="shared" si="5"/>
        <v>2029</v>
      </c>
      <c r="L32" s="86">
        <f t="shared" si="5"/>
        <v>2030</v>
      </c>
      <c r="M32" s="86">
        <f t="shared" si="5"/>
        <v>2031</v>
      </c>
      <c r="N32" s="86">
        <f t="shared" si="5"/>
        <v>2032</v>
      </c>
    </row>
    <row r="33" spans="2:30" x14ac:dyDescent="0.35">
      <c r="B33" t="s">
        <v>53</v>
      </c>
      <c r="E33" s="24">
        <f>E13</f>
        <v>9000</v>
      </c>
      <c r="F33" s="24">
        <f>F13</f>
        <v>8990</v>
      </c>
      <c r="G33" s="24">
        <f>G13</f>
        <v>9972</v>
      </c>
      <c r="H33" s="24">
        <f>H13</f>
        <v>8164</v>
      </c>
      <c r="I33" s="24" t="str">
        <f>I13</f>
        <v>-</v>
      </c>
      <c r="J33" s="30" t="e">
        <f>I33*(1+J34)</f>
        <v>#VALUE!</v>
      </c>
      <c r="K33" s="30" t="e">
        <f>J33*(1+K34)</f>
        <v>#VALUE!</v>
      </c>
      <c r="L33" s="30" t="e">
        <f>K33*(1+L34)</f>
        <v>#VALUE!</v>
      </c>
      <c r="M33" s="30" t="e">
        <f>L33*(1+M34)</f>
        <v>#VALUE!</v>
      </c>
      <c r="N33" s="30" t="e">
        <f>M33*(1+N34)</f>
        <v>#VALUE!</v>
      </c>
    </row>
    <row r="34" spans="2:30" x14ac:dyDescent="0.35">
      <c r="B34" s="21" t="s">
        <v>54</v>
      </c>
      <c r="E34" s="31"/>
      <c r="F34" s="31">
        <f>F33/E33-1</f>
        <v>-1.1111111111110628E-3</v>
      </c>
      <c r="G34" s="31">
        <f>G33/F33-1</f>
        <v>0.10923248053392665</v>
      </c>
      <c r="H34" s="31">
        <f>H33/G33-1</f>
        <v>-0.18130766145206578</v>
      </c>
      <c r="I34" s="31" t="e">
        <f>I33/H33-1</f>
        <v>#VALUE!</v>
      </c>
      <c r="J34" s="45" t="e">
        <f>J14</f>
        <v>#VALUE!</v>
      </c>
      <c r="K34" s="45">
        <f>K14</f>
        <v>-1.1111111111110628E-3</v>
      </c>
      <c r="L34" s="45">
        <f>L14</f>
        <v>0.10923248053392665</v>
      </c>
      <c r="M34" s="45">
        <f>M14</f>
        <v>-0.18130766145206578</v>
      </c>
      <c r="N34" s="45" t="e">
        <f>N14</f>
        <v>#VALUE!</v>
      </c>
      <c r="U34" s="16"/>
      <c r="Y34" s="36"/>
      <c r="Z34" s="36"/>
      <c r="AA34" s="36"/>
    </row>
    <row r="35" spans="2:30" x14ac:dyDescent="0.35">
      <c r="I35" s="52"/>
      <c r="Y35" s="36"/>
      <c r="Z35" s="36"/>
      <c r="AA35" s="36"/>
    </row>
    <row r="36" spans="2:30" x14ac:dyDescent="0.35">
      <c r="B36" t="s">
        <v>55</v>
      </c>
      <c r="E36" s="24" t="e">
        <f>E16</f>
        <v>#VALUE!</v>
      </c>
      <c r="F36" s="24">
        <f>F16</f>
        <v>2236</v>
      </c>
      <c r="G36" s="24">
        <f>G16</f>
        <v>2180</v>
      </c>
      <c r="H36" s="24">
        <f>H16</f>
        <v>1204</v>
      </c>
      <c r="I36" s="24" t="e">
        <f>I16</f>
        <v>#VALUE!</v>
      </c>
      <c r="J36" s="30" t="e">
        <f>J33*(J37)</f>
        <v>#VALUE!</v>
      </c>
      <c r="K36" s="30" t="e">
        <f>K33*(K37)</f>
        <v>#VALUE!</v>
      </c>
      <c r="L36" s="30" t="e">
        <f>L33*(L37)</f>
        <v>#VALUE!</v>
      </c>
      <c r="M36" s="30" t="e">
        <f>M33*(M37)</f>
        <v>#VALUE!</v>
      </c>
      <c r="N36" s="30" t="e">
        <f>N33*(N37)</f>
        <v>#VALUE!</v>
      </c>
      <c r="V36" s="22"/>
      <c r="W36" s="22"/>
      <c r="X36" s="22"/>
      <c r="Y36" s="22"/>
      <c r="Z36" s="22"/>
      <c r="AA36" s="22"/>
    </row>
    <row r="37" spans="2:30" x14ac:dyDescent="0.35">
      <c r="B37" s="21" t="s">
        <v>62</v>
      </c>
      <c r="E37" s="31" t="e">
        <f>E36/E33</f>
        <v>#VALUE!</v>
      </c>
      <c r="F37" s="31">
        <f>F36/F33</f>
        <v>0.24872080088987764</v>
      </c>
      <c r="G37" s="31">
        <f>G36/G33</f>
        <v>0.21861211391897312</v>
      </c>
      <c r="H37" s="31">
        <f>H36/H33</f>
        <v>0.1474767270945615</v>
      </c>
      <c r="I37" s="31" t="e">
        <f>I36/I33</f>
        <v>#VALUE!</v>
      </c>
      <c r="J37" s="45" t="e">
        <f>J17</f>
        <v>#VALUE!</v>
      </c>
      <c r="K37" s="45">
        <f>K17</f>
        <v>0.24349276974416018</v>
      </c>
      <c r="L37" s="45">
        <f>L17</f>
        <v>0.21349779382270356</v>
      </c>
      <c r="M37" s="45">
        <f>M17</f>
        <v>0.1331455169034787</v>
      </c>
      <c r="N37" s="45" t="e">
        <f>N17</f>
        <v>#VALUE!</v>
      </c>
      <c r="O37" s="45" t="s">
        <v>94</v>
      </c>
      <c r="P37" s="81" t="s">
        <v>95</v>
      </c>
      <c r="Q37" s="12"/>
      <c r="R37" s="12"/>
      <c r="S37" s="12"/>
      <c r="T37" s="12"/>
      <c r="U37" s="12"/>
      <c r="V37" s="80"/>
      <c r="W37" s="80"/>
      <c r="X37" s="80"/>
      <c r="Y37" s="37"/>
      <c r="Z37" s="37"/>
      <c r="AA37" s="37"/>
    </row>
    <row r="38" spans="2:30" x14ac:dyDescent="0.35">
      <c r="I38" s="52"/>
      <c r="K38" s="35"/>
      <c r="L38" s="35"/>
      <c r="U38" s="16"/>
      <c r="Y38" s="18"/>
      <c r="Z38" s="18"/>
      <c r="AA38" s="18"/>
      <c r="AB38" s="16"/>
      <c r="AC38" s="16"/>
      <c r="AD38" s="16"/>
    </row>
    <row r="39" spans="2:30" x14ac:dyDescent="0.35">
      <c r="B39" t="s">
        <v>57</v>
      </c>
      <c r="E39" s="79" t="str">
        <f>IS!K27</f>
        <v>-</v>
      </c>
      <c r="F39" s="79">
        <f>IS!L27</f>
        <v>-438</v>
      </c>
      <c r="G39" s="79">
        <f>IS!M27</f>
        <v>-552</v>
      </c>
      <c r="H39" s="79">
        <f>IS!N27</f>
        <v>-275</v>
      </c>
      <c r="I39" s="79" t="str">
        <f>IS!O27</f>
        <v>-</v>
      </c>
      <c r="J39" s="30" t="e">
        <f>J40*J36</f>
        <v>#VALUE!</v>
      </c>
      <c r="K39" s="30" t="e">
        <f>K40*K36</f>
        <v>#VALUE!</v>
      </c>
      <c r="L39" s="30" t="e">
        <f>L40*L36</f>
        <v>#VALUE!</v>
      </c>
      <c r="M39" s="30" t="e">
        <f>M40*M36</f>
        <v>#VALUE!</v>
      </c>
      <c r="N39" s="30" t="e">
        <f>N40*N36</f>
        <v>#VALUE!</v>
      </c>
      <c r="U39" s="16"/>
      <c r="Y39" s="18"/>
      <c r="Z39" s="18"/>
      <c r="AA39" s="18"/>
      <c r="AB39" s="16"/>
      <c r="AC39" s="16"/>
      <c r="AD39" s="16"/>
    </row>
    <row r="40" spans="2:30" x14ac:dyDescent="0.35">
      <c r="B40" s="21" t="s">
        <v>58</v>
      </c>
      <c r="E40" t="e">
        <f>E39/E36</f>
        <v>#VALUE!</v>
      </c>
      <c r="F40">
        <f>F39/F36</f>
        <v>-0.19588550983899822</v>
      </c>
      <c r="G40">
        <f>G39/G36</f>
        <v>-0.25321100917431194</v>
      </c>
      <c r="H40">
        <f>H39/H36</f>
        <v>-0.22840531561461794</v>
      </c>
      <c r="I40" t="e">
        <f>I39/I36</f>
        <v>#VALUE!</v>
      </c>
      <c r="J40" s="45" t="e">
        <f>J20</f>
        <v>#VALUE!</v>
      </c>
      <c r="K40" s="45">
        <f>K20</f>
        <v>-0.20009136592051166</v>
      </c>
      <c r="L40" s="45">
        <f>L20</f>
        <v>-0.25927665570690467</v>
      </c>
      <c r="M40" s="45">
        <f>M20</f>
        <v>-0.25298988040478382</v>
      </c>
      <c r="N40" s="45" t="e">
        <f>N20</f>
        <v>#VALUE!</v>
      </c>
      <c r="U40" s="16"/>
      <c r="Y40" s="33"/>
      <c r="Z40" s="33"/>
      <c r="AA40" s="33"/>
      <c r="AB40" s="16"/>
      <c r="AC40" s="16"/>
      <c r="AD40" s="16"/>
    </row>
    <row r="41" spans="2:30" x14ac:dyDescent="0.35">
      <c r="I41" s="52"/>
      <c r="U41" s="16"/>
      <c r="Y41" s="34"/>
      <c r="Z41" s="34"/>
      <c r="AA41" s="34"/>
      <c r="AB41" s="34"/>
      <c r="AC41" s="34"/>
      <c r="AD41" s="34"/>
    </row>
    <row r="42" spans="2:30" x14ac:dyDescent="0.35">
      <c r="B42" s="62" t="s">
        <v>63</v>
      </c>
      <c r="C42" s="63"/>
      <c r="D42" s="63"/>
      <c r="E42" s="63"/>
      <c r="F42" s="63"/>
      <c r="G42" s="63"/>
      <c r="H42" s="63"/>
      <c r="I42" s="64"/>
      <c r="J42" s="66" t="e">
        <f>J36-J39</f>
        <v>#VALUE!</v>
      </c>
      <c r="K42" s="66" t="e">
        <f>K36-K39</f>
        <v>#VALUE!</v>
      </c>
      <c r="L42" s="66" t="e">
        <f>L36-L39</f>
        <v>#VALUE!</v>
      </c>
      <c r="M42" s="66" t="e">
        <f>M36-M39</f>
        <v>#VALUE!</v>
      </c>
      <c r="N42" s="66" t="e">
        <f>N36-N39</f>
        <v>#VALUE!</v>
      </c>
      <c r="U42" s="16"/>
      <c r="Y42" s="33"/>
      <c r="Z42" s="33"/>
      <c r="AA42" s="33"/>
      <c r="AB42" s="33"/>
      <c r="AC42" s="33"/>
      <c r="AD42" s="33"/>
    </row>
    <row r="43" spans="2:30" x14ac:dyDescent="0.35">
      <c r="I43" s="52"/>
      <c r="K43" s="22"/>
      <c r="U43" s="16"/>
      <c r="Y43" s="16"/>
      <c r="Z43" s="16"/>
      <c r="AA43" s="16"/>
      <c r="AB43" s="16"/>
      <c r="AC43" s="16"/>
      <c r="AD43" s="16"/>
    </row>
    <row r="44" spans="2:30" x14ac:dyDescent="0.35">
      <c r="B44" t="s">
        <v>59</v>
      </c>
      <c r="E44" s="24"/>
      <c r="F44" s="24"/>
      <c r="G44" s="24"/>
      <c r="H44" s="24"/>
      <c r="I44" s="53"/>
      <c r="J44" s="24">
        <f>J23</f>
        <v>38716.438000000002</v>
      </c>
      <c r="K44" s="24">
        <f>K23</f>
        <v>44728.72</v>
      </c>
      <c r="L44" s="24">
        <f>L23</f>
        <v>52136.97</v>
      </c>
      <c r="M44" s="24">
        <f>M23</f>
        <v>55507.54</v>
      </c>
      <c r="N44" s="24">
        <f>N23</f>
        <v>58234.55</v>
      </c>
      <c r="U44" s="16"/>
    </row>
    <row r="45" spans="2:30" x14ac:dyDescent="0.35">
      <c r="B45" s="21" t="s">
        <v>56</v>
      </c>
      <c r="E45" s="31"/>
      <c r="F45" s="31"/>
      <c r="G45" s="31"/>
      <c r="H45" s="31"/>
      <c r="I45" s="54"/>
      <c r="J45" s="32" t="e">
        <f>J44/J33</f>
        <v>#VALUE!</v>
      </c>
      <c r="K45" s="32" t="e">
        <f>K44/K33</f>
        <v>#VALUE!</v>
      </c>
      <c r="L45" s="32" t="e">
        <f>L44/L33</f>
        <v>#VALUE!</v>
      </c>
      <c r="M45" s="32" t="e">
        <f>M44/M33</f>
        <v>#VALUE!</v>
      </c>
      <c r="N45" s="32" t="e">
        <f>N44/N33</f>
        <v>#VALUE!</v>
      </c>
      <c r="U45" s="16"/>
      <c r="Y45" s="33"/>
      <c r="Z45" s="33"/>
      <c r="AA45" s="33"/>
    </row>
    <row r="46" spans="2:30" x14ac:dyDescent="0.35">
      <c r="I46" s="52"/>
    </row>
    <row r="47" spans="2:30" x14ac:dyDescent="0.35">
      <c r="B47" t="s">
        <v>60</v>
      </c>
      <c r="E47" s="24"/>
      <c r="F47" s="24"/>
      <c r="G47" s="24"/>
      <c r="H47" s="24"/>
      <c r="I47" s="53"/>
      <c r="J47" s="24">
        <f>J26</f>
        <v>61050.722999999998</v>
      </c>
      <c r="K47" s="24">
        <f>K26</f>
        <v>62598.887000000002</v>
      </c>
      <c r="L47" s="24">
        <f>L26</f>
        <v>64481.453000000001</v>
      </c>
      <c r="M47" s="24">
        <f>M26</f>
        <v>69493.41</v>
      </c>
      <c r="N47" s="24">
        <f>N26</f>
        <v>65697</v>
      </c>
      <c r="U47" s="16"/>
    </row>
    <row r="48" spans="2:30" x14ac:dyDescent="0.35">
      <c r="B48" s="21" t="s">
        <v>56</v>
      </c>
      <c r="E48" s="31"/>
      <c r="F48" s="31"/>
      <c r="G48" s="31"/>
      <c r="H48" s="31"/>
      <c r="I48" s="54"/>
      <c r="J48" s="32" t="e">
        <f>J47/J33</f>
        <v>#VALUE!</v>
      </c>
      <c r="K48" s="32" t="e">
        <f>K47/K33</f>
        <v>#VALUE!</v>
      </c>
      <c r="L48" s="32" t="e">
        <f>L47/L33</f>
        <v>#VALUE!</v>
      </c>
      <c r="M48" s="32" t="e">
        <f>M47/M33</f>
        <v>#VALUE!</v>
      </c>
      <c r="N48" s="32" t="e">
        <f>N47/N33</f>
        <v>#VALUE!</v>
      </c>
      <c r="U48" s="16"/>
      <c r="Y48" s="35"/>
      <c r="Z48" s="35"/>
      <c r="AA48" s="35"/>
      <c r="AB48" s="35"/>
      <c r="AC48" s="35"/>
      <c r="AD48" s="35"/>
    </row>
    <row r="49" spans="1:27" x14ac:dyDescent="0.35">
      <c r="I49" s="52"/>
    </row>
    <row r="50" spans="1:27" x14ac:dyDescent="0.35">
      <c r="B50" t="s">
        <v>61</v>
      </c>
      <c r="E50" s="39"/>
      <c r="F50" s="39"/>
      <c r="G50" s="39"/>
      <c r="H50" s="39"/>
      <c r="I50" s="55"/>
      <c r="J50" s="40" t="e">
        <f>J51*J33</f>
        <v>#VALUE!</v>
      </c>
      <c r="K50" s="40" t="e">
        <f>K51*K33</f>
        <v>#VALUE!</v>
      </c>
      <c r="L50" s="40" t="e">
        <f>L51*L33</f>
        <v>#VALUE!</v>
      </c>
      <c r="M50" s="40" t="e">
        <f>M51*M33</f>
        <v>#VALUE!</v>
      </c>
      <c r="N50" s="40" t="e">
        <f>N51*N33</f>
        <v>#VALUE!</v>
      </c>
      <c r="U50" s="16"/>
      <c r="Y50" s="35"/>
      <c r="Z50" s="35"/>
      <c r="AA50" s="35"/>
    </row>
    <row r="51" spans="1:27" x14ac:dyDescent="0.35">
      <c r="B51" s="21" t="s">
        <v>56</v>
      </c>
      <c r="E51" s="47"/>
      <c r="F51" s="47"/>
      <c r="G51" s="47"/>
      <c r="H51" s="47"/>
      <c r="I51" s="56"/>
      <c r="J51" s="47" t="e">
        <f>AVERAGE(G30:I30)</f>
        <v>#VALUE!</v>
      </c>
      <c r="K51" s="47" t="e">
        <f>J51</f>
        <v>#VALUE!</v>
      </c>
      <c r="L51" s="47" t="e">
        <f>K51</f>
        <v>#VALUE!</v>
      </c>
      <c r="M51" s="47" t="e">
        <f>L51</f>
        <v>#VALUE!</v>
      </c>
      <c r="N51" s="47" t="e">
        <f>M51</f>
        <v>#VALUE!</v>
      </c>
    </row>
    <row r="52" spans="1:27" x14ac:dyDescent="0.35">
      <c r="I52" s="57"/>
    </row>
    <row r="53" spans="1:27" x14ac:dyDescent="0.35">
      <c r="B53" s="62" t="s">
        <v>64</v>
      </c>
      <c r="C53" s="63"/>
      <c r="D53" s="63"/>
      <c r="E53" s="63"/>
      <c r="F53" s="63"/>
      <c r="G53" s="63"/>
      <c r="H53" s="63"/>
      <c r="I53" s="64"/>
      <c r="J53" s="65" t="e">
        <f>J42+J44-J47-J50</f>
        <v>#VALUE!</v>
      </c>
      <c r="K53" s="65" t="e">
        <f>K42+K44-K47-K50</f>
        <v>#VALUE!</v>
      </c>
      <c r="L53" s="65" t="e">
        <f>L42+L44-L47-L50</f>
        <v>#VALUE!</v>
      </c>
      <c r="M53" s="65" t="e">
        <f>M42+M44-M47-M50</f>
        <v>#VALUE!</v>
      </c>
      <c r="N53" s="65" t="e">
        <f>N42+N44-N47-N50</f>
        <v>#VALUE!</v>
      </c>
      <c r="P53" s="78"/>
    </row>
    <row r="54" spans="1:27" x14ac:dyDescent="0.35">
      <c r="B54" s="62" t="s">
        <v>65</v>
      </c>
      <c r="C54" s="63"/>
      <c r="D54" s="63"/>
      <c r="E54" s="63"/>
      <c r="F54" s="63"/>
      <c r="G54" s="63"/>
      <c r="H54" s="63"/>
      <c r="I54" s="64"/>
      <c r="J54" s="65" t="e">
        <f>J53/(1+wacc)^J31</f>
        <v>#VALUE!</v>
      </c>
      <c r="K54" s="65" t="e">
        <f>K53/(1+wacc)^K31</f>
        <v>#VALUE!</v>
      </c>
      <c r="L54" s="65" t="e">
        <f>L53/(1+wacc)^L31</f>
        <v>#VALUE!</v>
      </c>
      <c r="M54" s="65" t="e">
        <f>M53/(1+wacc)^M31</f>
        <v>#VALUE!</v>
      </c>
      <c r="N54" s="65" t="e">
        <f>N53/(1+wacc)^N31</f>
        <v>#VALUE!</v>
      </c>
    </row>
    <row r="55" spans="1:27" x14ac:dyDescent="0.35">
      <c r="J55" s="41"/>
    </row>
    <row r="56" spans="1:27" x14ac:dyDescent="0.35">
      <c r="A56" t="s">
        <v>48</v>
      </c>
      <c r="B56" t="s">
        <v>77</v>
      </c>
      <c r="J56" s="41"/>
      <c r="N56" s="40" t="e">
        <f>(N53*(1+tgr))/(wacc-tgr)</f>
        <v>#VALUE!</v>
      </c>
    </row>
    <row r="57" spans="1:27" x14ac:dyDescent="0.35">
      <c r="B57" s="10" t="s">
        <v>78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58" t="e">
        <f>N56/(1+wacc)^N31</f>
        <v>#VALUE!</v>
      </c>
    </row>
    <row r="58" spans="1:27" x14ac:dyDescent="0.35">
      <c r="B58" s="28" t="s">
        <v>70</v>
      </c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61" t="e">
        <f>SUM(J54:N54,N57)</f>
        <v>#VALUE!</v>
      </c>
    </row>
    <row r="59" spans="1:27" x14ac:dyDescent="0.35">
      <c r="B59" s="42" t="s">
        <v>71</v>
      </c>
      <c r="N59" s="77">
        <f>36393+29992</f>
        <v>66385</v>
      </c>
    </row>
    <row r="60" spans="1:27" x14ac:dyDescent="0.35">
      <c r="B60" s="59" t="s">
        <v>72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76">
        <v>47556</v>
      </c>
    </row>
    <row r="61" spans="1:27" x14ac:dyDescent="0.35">
      <c r="B61" s="28" t="s">
        <v>73</v>
      </c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61" t="e">
        <f>N58+N59-N60</f>
        <v>#VALUE!</v>
      </c>
    </row>
    <row r="62" spans="1:27" x14ac:dyDescent="0.35">
      <c r="B62" s="10" t="s">
        <v>74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75">
        <v>10456</v>
      </c>
    </row>
    <row r="63" spans="1:27" x14ac:dyDescent="0.35">
      <c r="A63" t="s">
        <v>48</v>
      </c>
      <c r="B63" s="28" t="s">
        <v>75</v>
      </c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60" t="e">
        <f>N61/N62</f>
        <v>#VALUE!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AAA37-B9BC-4CF7-938C-4E2A583E5CB4}">
  <sheetPr>
    <outlinePr summaryBelow="0" summaryRight="0"/>
  </sheetPr>
  <dimension ref="A1:Q39"/>
  <sheetViews>
    <sheetView topLeftCell="A7" zoomScale="78" workbookViewId="0">
      <selection activeCell="K15" sqref="K15"/>
    </sheetView>
  </sheetViews>
  <sheetFormatPr baseColWidth="10" defaultColWidth="9.1796875" defaultRowHeight="15" customHeight="1" x14ac:dyDescent="0.25"/>
  <cols>
    <col min="1" max="1" width="34.1796875" style="2" customWidth="1"/>
    <col min="2" max="3" width="7.54296875" style="2" customWidth="1"/>
    <col min="4" max="10" width="7.81640625" style="2" customWidth="1"/>
    <col min="11" max="15" width="8.81640625" style="2" customWidth="1"/>
    <col min="16" max="16" width="9.453125" style="2" customWidth="1"/>
    <col min="17" max="16384" width="9.1796875" style="2"/>
  </cols>
  <sheetData>
    <row r="1" spans="1:16" ht="15" customHeight="1" x14ac:dyDescent="0.3">
      <c r="A1" s="1" t="s">
        <v>96</v>
      </c>
    </row>
    <row r="2" spans="1:16" ht="15" customHeight="1" x14ac:dyDescent="0.25">
      <c r="A2" s="2" t="s">
        <v>0</v>
      </c>
      <c r="L2" s="8"/>
      <c r="M2" s="8"/>
    </row>
    <row r="3" spans="1:16" ht="15" customHeight="1" x14ac:dyDescent="0.3">
      <c r="A3" s="3"/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106</v>
      </c>
      <c r="L3" s="3" t="s">
        <v>107</v>
      </c>
      <c r="M3" s="3" t="s">
        <v>108</v>
      </c>
      <c r="N3" s="3" t="s">
        <v>109</v>
      </c>
      <c r="O3" s="3" t="s">
        <v>110</v>
      </c>
      <c r="P3" s="3" t="s">
        <v>111</v>
      </c>
    </row>
    <row r="4" spans="1:16" ht="15" customHeight="1" x14ac:dyDescent="0.3">
      <c r="A4" s="3"/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  <c r="H4" s="3" t="s">
        <v>16</v>
      </c>
      <c r="I4" s="3" t="s">
        <v>17</v>
      </c>
      <c r="J4" s="3" t="s">
        <v>18</v>
      </c>
      <c r="K4" s="3" t="s">
        <v>113</v>
      </c>
      <c r="L4" s="3" t="s">
        <v>114</v>
      </c>
      <c r="M4" s="3" t="s">
        <v>115</v>
      </c>
      <c r="N4" s="3" t="s">
        <v>116</v>
      </c>
      <c r="O4" s="3" t="s">
        <v>117</v>
      </c>
      <c r="P4" s="3" t="s">
        <v>118</v>
      </c>
    </row>
    <row r="5" spans="1:16" ht="15" customHeight="1" x14ac:dyDescent="0.35">
      <c r="A5" s="4" t="s">
        <v>19</v>
      </c>
      <c r="B5" s="5" t="s">
        <v>21</v>
      </c>
      <c r="C5" s="5" t="s">
        <v>21</v>
      </c>
      <c r="D5" s="5" t="s">
        <v>21</v>
      </c>
      <c r="E5" s="5" t="s">
        <v>21</v>
      </c>
      <c r="F5" s="5" t="s">
        <v>21</v>
      </c>
      <c r="G5" s="5" t="s">
        <v>21</v>
      </c>
      <c r="H5" s="5" t="s">
        <v>21</v>
      </c>
      <c r="I5" s="5" t="s">
        <v>21</v>
      </c>
      <c r="J5" s="5" t="s">
        <v>21</v>
      </c>
      <c r="K5" s="5">
        <v>9000</v>
      </c>
      <c r="L5" s="5">
        <v>8990</v>
      </c>
      <c r="M5" s="22">
        <v>9972</v>
      </c>
      <c r="N5" s="5">
        <v>8164</v>
      </c>
      <c r="O5" s="5" t="s">
        <v>21</v>
      </c>
      <c r="P5" s="5" t="s">
        <v>21</v>
      </c>
    </row>
    <row r="6" spans="1:16" ht="15" customHeight="1" x14ac:dyDescent="0.25">
      <c r="A6" s="6" t="s">
        <v>20</v>
      </c>
      <c r="B6" s="6" t="s">
        <v>21</v>
      </c>
      <c r="C6" s="6" t="s">
        <v>21</v>
      </c>
      <c r="D6" s="6" t="s">
        <v>21</v>
      </c>
      <c r="E6" s="6" t="s">
        <v>21</v>
      </c>
      <c r="F6" s="6" t="s">
        <v>21</v>
      </c>
      <c r="G6" s="6" t="s">
        <v>21</v>
      </c>
      <c r="H6" s="6" t="s">
        <v>21</v>
      </c>
      <c r="I6" s="6" t="s">
        <v>21</v>
      </c>
      <c r="J6" s="6" t="s">
        <v>21</v>
      </c>
      <c r="K6" s="6" t="s">
        <v>21</v>
      </c>
      <c r="L6" s="6" t="s">
        <v>21</v>
      </c>
      <c r="M6" s="6" t="s">
        <v>21</v>
      </c>
      <c r="N6" s="6" t="s">
        <v>21</v>
      </c>
      <c r="O6" s="6" t="s">
        <v>21</v>
      </c>
      <c r="P6" s="6" t="s">
        <v>21</v>
      </c>
    </row>
    <row r="7" spans="1:16" ht="15" customHeight="1" x14ac:dyDescent="0.25">
      <c r="A7" s="4" t="s">
        <v>22</v>
      </c>
      <c r="B7" s="4" t="s">
        <v>21</v>
      </c>
      <c r="C7" s="4" t="s">
        <v>21</v>
      </c>
      <c r="D7" s="4" t="s">
        <v>21</v>
      </c>
      <c r="E7" s="4" t="s">
        <v>21</v>
      </c>
      <c r="F7" s="4" t="s">
        <v>21</v>
      </c>
      <c r="G7" s="4" t="s">
        <v>21</v>
      </c>
      <c r="H7" s="4" t="s">
        <v>21</v>
      </c>
      <c r="I7" s="4" t="s">
        <v>21</v>
      </c>
      <c r="J7" s="4" t="s">
        <v>21</v>
      </c>
      <c r="K7" s="4" t="s">
        <v>21</v>
      </c>
      <c r="L7" s="4" t="s">
        <v>21</v>
      </c>
      <c r="M7" s="4" t="s">
        <v>21</v>
      </c>
      <c r="N7" s="4" t="s">
        <v>21</v>
      </c>
      <c r="O7" s="4" t="s">
        <v>21</v>
      </c>
      <c r="P7" s="4" t="s">
        <v>21</v>
      </c>
    </row>
    <row r="8" spans="1:16" ht="15" customHeight="1" x14ac:dyDescent="0.25">
      <c r="A8" s="6" t="s">
        <v>23</v>
      </c>
      <c r="B8" s="6" t="s">
        <v>21</v>
      </c>
      <c r="C8" s="6" t="s">
        <v>21</v>
      </c>
      <c r="D8" s="6" t="s">
        <v>21</v>
      </c>
      <c r="E8" s="6" t="s">
        <v>21</v>
      </c>
      <c r="F8" s="6" t="s">
        <v>21</v>
      </c>
      <c r="G8" s="6" t="s">
        <v>21</v>
      </c>
      <c r="H8" s="6" t="s">
        <v>21</v>
      </c>
      <c r="I8" s="6" t="s">
        <v>21</v>
      </c>
      <c r="J8" s="6" t="s">
        <v>21</v>
      </c>
      <c r="K8" s="6" t="s">
        <v>21</v>
      </c>
      <c r="L8" s="6" t="s">
        <v>21</v>
      </c>
      <c r="M8" s="6" t="s">
        <v>21</v>
      </c>
      <c r="N8" s="6" t="s">
        <v>21</v>
      </c>
      <c r="O8" s="6" t="s">
        <v>21</v>
      </c>
      <c r="P8" s="6" t="s">
        <v>21</v>
      </c>
    </row>
    <row r="9" spans="1:16" ht="15" customHeight="1" x14ac:dyDescent="0.25">
      <c r="A9" s="4" t="s">
        <v>24</v>
      </c>
      <c r="B9" s="5" t="s">
        <v>21</v>
      </c>
      <c r="C9" s="5" t="s">
        <v>21</v>
      </c>
      <c r="D9" s="5" t="s">
        <v>21</v>
      </c>
      <c r="E9" s="5" t="s">
        <v>21</v>
      </c>
      <c r="F9" s="5" t="s">
        <v>21</v>
      </c>
      <c r="G9" s="5" t="s">
        <v>21</v>
      </c>
      <c r="H9" s="5" t="s">
        <v>21</v>
      </c>
      <c r="I9" s="5" t="s">
        <v>21</v>
      </c>
      <c r="J9" s="5" t="s">
        <v>21</v>
      </c>
      <c r="K9" s="5" t="s">
        <v>21</v>
      </c>
      <c r="L9" s="5" t="s">
        <v>21</v>
      </c>
      <c r="M9" s="5" t="s">
        <v>21</v>
      </c>
      <c r="N9" s="5" t="s">
        <v>21</v>
      </c>
      <c r="O9" s="5" t="s">
        <v>21</v>
      </c>
      <c r="P9" s="5" t="s">
        <v>21</v>
      </c>
    </row>
    <row r="10" spans="1:16" ht="15" customHeight="1" x14ac:dyDescent="0.25">
      <c r="A10" s="6" t="s">
        <v>25</v>
      </c>
      <c r="B10" s="6" t="s">
        <v>21</v>
      </c>
      <c r="C10" s="6" t="s">
        <v>21</v>
      </c>
      <c r="D10" s="6" t="s">
        <v>21</v>
      </c>
      <c r="E10" s="6" t="s">
        <v>21</v>
      </c>
      <c r="F10" s="6" t="s">
        <v>21</v>
      </c>
      <c r="G10" s="6" t="s">
        <v>21</v>
      </c>
      <c r="H10" s="6" t="s">
        <v>21</v>
      </c>
      <c r="I10" s="6" t="s">
        <v>21</v>
      </c>
      <c r="J10" s="6" t="s">
        <v>21</v>
      </c>
      <c r="K10" s="6" t="s">
        <v>21</v>
      </c>
      <c r="L10" s="6" t="s">
        <v>21</v>
      </c>
      <c r="M10" s="6" t="s">
        <v>21</v>
      </c>
      <c r="N10" s="6" t="s">
        <v>21</v>
      </c>
      <c r="O10" s="6" t="s">
        <v>21</v>
      </c>
      <c r="P10" s="6" t="s">
        <v>21</v>
      </c>
    </row>
    <row r="11" spans="1:16" ht="15" customHeight="1" x14ac:dyDescent="0.25">
      <c r="A11" s="4" t="s">
        <v>112</v>
      </c>
      <c r="B11" s="5" t="s">
        <v>21</v>
      </c>
      <c r="C11" s="5" t="s">
        <v>21</v>
      </c>
      <c r="D11" s="5" t="s">
        <v>21</v>
      </c>
      <c r="E11" s="5" t="s">
        <v>21</v>
      </c>
      <c r="F11" s="5" t="s">
        <v>21</v>
      </c>
      <c r="G11" s="5" t="s">
        <v>21</v>
      </c>
      <c r="H11" s="5" t="s">
        <v>21</v>
      </c>
      <c r="I11" s="5" t="s">
        <v>21</v>
      </c>
      <c r="J11" s="5" t="s">
        <v>21</v>
      </c>
      <c r="K11" s="5">
        <v>1132</v>
      </c>
      <c r="L11" s="5">
        <v>1297</v>
      </c>
      <c r="M11" s="5">
        <v>1442</v>
      </c>
      <c r="N11" s="5">
        <v>1360</v>
      </c>
      <c r="O11" s="5" t="s">
        <v>21</v>
      </c>
      <c r="P11" s="5" t="s">
        <v>21</v>
      </c>
    </row>
    <row r="12" spans="1:16" ht="15" customHeight="1" x14ac:dyDescent="0.25">
      <c r="A12" s="6" t="s">
        <v>26</v>
      </c>
      <c r="B12" s="7" t="s">
        <v>21</v>
      </c>
      <c r="C12" s="7" t="s">
        <v>21</v>
      </c>
      <c r="D12" s="7" t="s">
        <v>21</v>
      </c>
      <c r="E12" s="7" t="s">
        <v>21</v>
      </c>
      <c r="F12" s="7" t="s">
        <v>21</v>
      </c>
      <c r="G12" s="7" t="s">
        <v>21</v>
      </c>
      <c r="H12" s="7" t="s">
        <v>21</v>
      </c>
      <c r="I12" s="7" t="s">
        <v>21</v>
      </c>
      <c r="J12" s="7" t="s">
        <v>21</v>
      </c>
      <c r="K12" s="7" t="s">
        <v>21</v>
      </c>
      <c r="L12" s="7" t="s">
        <v>21</v>
      </c>
      <c r="M12" s="7" t="s">
        <v>21</v>
      </c>
      <c r="N12" s="7" t="s">
        <v>21</v>
      </c>
      <c r="O12" s="7" t="s">
        <v>21</v>
      </c>
      <c r="P12" s="7" t="s">
        <v>21</v>
      </c>
    </row>
    <row r="13" spans="1:16" ht="15" customHeight="1" x14ac:dyDescent="0.25">
      <c r="A13" s="4" t="s">
        <v>27</v>
      </c>
      <c r="B13" s="5" t="s">
        <v>21</v>
      </c>
      <c r="C13" s="5" t="s">
        <v>21</v>
      </c>
      <c r="D13" s="5" t="s">
        <v>21</v>
      </c>
      <c r="E13" s="5" t="s">
        <v>21</v>
      </c>
      <c r="F13" s="5" t="s">
        <v>21</v>
      </c>
      <c r="G13" s="5" t="s">
        <v>21</v>
      </c>
      <c r="H13" s="5" t="s">
        <v>21</v>
      </c>
      <c r="I13" s="5" t="s">
        <v>21</v>
      </c>
      <c r="J13" s="5" t="s">
        <v>21</v>
      </c>
      <c r="K13" s="5" t="s">
        <v>21</v>
      </c>
      <c r="L13" s="5" t="s">
        <v>21</v>
      </c>
      <c r="M13" s="5" t="s">
        <v>21</v>
      </c>
      <c r="N13" s="5" t="s">
        <v>21</v>
      </c>
      <c r="O13" s="5" t="s">
        <v>21</v>
      </c>
      <c r="P13" s="5" t="s">
        <v>21</v>
      </c>
    </row>
    <row r="14" spans="1:16" ht="15" customHeight="1" x14ac:dyDescent="0.25">
      <c r="A14" s="6" t="s">
        <v>28</v>
      </c>
      <c r="B14" s="6" t="s">
        <v>21</v>
      </c>
      <c r="C14" s="6" t="s">
        <v>21</v>
      </c>
      <c r="D14" s="6" t="s">
        <v>21</v>
      </c>
      <c r="E14" s="6" t="s">
        <v>21</v>
      </c>
      <c r="F14" s="6" t="s">
        <v>21</v>
      </c>
      <c r="G14" s="6" t="s">
        <v>21</v>
      </c>
      <c r="H14" s="6" t="s">
        <v>21</v>
      </c>
      <c r="I14" s="6" t="s">
        <v>21</v>
      </c>
      <c r="J14" s="6" t="s">
        <v>21</v>
      </c>
      <c r="K14" s="6" t="s">
        <v>21</v>
      </c>
      <c r="L14" s="6" t="s">
        <v>21</v>
      </c>
      <c r="M14" s="6" t="s">
        <v>21</v>
      </c>
      <c r="N14" s="6" t="s">
        <v>21</v>
      </c>
      <c r="O14" s="6" t="s">
        <v>21</v>
      </c>
      <c r="P14" s="6" t="s">
        <v>21</v>
      </c>
    </row>
    <row r="15" spans="1:16" ht="15" customHeight="1" x14ac:dyDescent="0.25">
      <c r="A15" s="4" t="s">
        <v>29</v>
      </c>
      <c r="B15" s="5" t="s">
        <v>21</v>
      </c>
      <c r="C15" s="5" t="s">
        <v>21</v>
      </c>
      <c r="D15" s="5" t="s">
        <v>21</v>
      </c>
      <c r="E15" s="5" t="s">
        <v>21</v>
      </c>
      <c r="F15" s="5" t="s">
        <v>21</v>
      </c>
      <c r="G15" s="5" t="s">
        <v>21</v>
      </c>
      <c r="H15" s="5" t="s">
        <v>21</v>
      </c>
      <c r="I15" s="5" t="s">
        <v>21</v>
      </c>
      <c r="J15" s="5" t="s">
        <v>21</v>
      </c>
      <c r="K15" s="5">
        <v>2551</v>
      </c>
      <c r="L15" s="5">
        <v>3005</v>
      </c>
      <c r="M15" s="5">
        <v>3029</v>
      </c>
      <c r="N15" s="5">
        <v>2173</v>
      </c>
      <c r="O15" s="5" t="s">
        <v>21</v>
      </c>
      <c r="P15" s="5" t="s">
        <v>21</v>
      </c>
    </row>
    <row r="16" spans="1:16" ht="15" customHeight="1" x14ac:dyDescent="0.25">
      <c r="A16" s="6" t="s">
        <v>30</v>
      </c>
      <c r="B16" s="7" t="s">
        <v>21</v>
      </c>
      <c r="C16" s="7" t="s">
        <v>21</v>
      </c>
      <c r="D16" s="7" t="s">
        <v>21</v>
      </c>
      <c r="E16" s="7" t="s">
        <v>21</v>
      </c>
      <c r="F16" s="7" t="s">
        <v>21</v>
      </c>
      <c r="G16" s="7" t="s">
        <v>21</v>
      </c>
      <c r="H16" s="7" t="s">
        <v>21</v>
      </c>
      <c r="I16" s="7" t="s">
        <v>21</v>
      </c>
      <c r="J16" s="7" t="s">
        <v>21</v>
      </c>
      <c r="K16" s="7" t="s">
        <v>21</v>
      </c>
      <c r="L16" s="7" t="s">
        <v>21</v>
      </c>
      <c r="M16" s="7" t="s">
        <v>21</v>
      </c>
      <c r="N16" s="7" t="s">
        <v>21</v>
      </c>
      <c r="O16" s="7" t="s">
        <v>21</v>
      </c>
      <c r="P16" s="7" t="s">
        <v>21</v>
      </c>
    </row>
    <row r="17" spans="1:17" ht="15" customHeight="1" x14ac:dyDescent="0.25">
      <c r="A17" s="4" t="s">
        <v>31</v>
      </c>
      <c r="B17" s="5" t="s">
        <v>21</v>
      </c>
      <c r="C17" s="5" t="s">
        <v>21</v>
      </c>
      <c r="D17" s="5" t="s">
        <v>21</v>
      </c>
      <c r="E17" s="5" t="s">
        <v>21</v>
      </c>
      <c r="F17" s="5" t="s">
        <v>21</v>
      </c>
      <c r="G17" s="5" t="s">
        <v>21</v>
      </c>
      <c r="H17" s="5" t="s">
        <v>21</v>
      </c>
      <c r="I17" s="5" t="s">
        <v>21</v>
      </c>
      <c r="J17" s="5" t="s">
        <v>21</v>
      </c>
      <c r="K17" s="5" t="s">
        <v>21</v>
      </c>
      <c r="L17" s="5" t="s">
        <v>21</v>
      </c>
      <c r="M17" s="5" t="s">
        <v>21</v>
      </c>
      <c r="N17" s="5" t="s">
        <v>21</v>
      </c>
      <c r="O17" s="5" t="s">
        <v>21</v>
      </c>
      <c r="P17" s="5" t="s">
        <v>21</v>
      </c>
    </row>
    <row r="18" spans="1:17" ht="15" customHeight="1" x14ac:dyDescent="0.25">
      <c r="A18" s="6" t="s">
        <v>32</v>
      </c>
      <c r="B18" s="7" t="s">
        <v>21</v>
      </c>
      <c r="C18" s="7" t="s">
        <v>21</v>
      </c>
      <c r="D18" s="7" t="s">
        <v>21</v>
      </c>
      <c r="E18" s="7" t="s">
        <v>21</v>
      </c>
      <c r="F18" s="7" t="s">
        <v>21</v>
      </c>
      <c r="G18" s="7" t="s">
        <v>21</v>
      </c>
      <c r="H18" s="7" t="s">
        <v>21</v>
      </c>
      <c r="I18" s="7" t="s">
        <v>21</v>
      </c>
      <c r="J18" s="7" t="s">
        <v>21</v>
      </c>
      <c r="K18" s="7" t="s">
        <v>21</v>
      </c>
      <c r="L18" s="7">
        <v>769</v>
      </c>
      <c r="M18" s="7">
        <v>849</v>
      </c>
      <c r="N18" s="7">
        <v>969</v>
      </c>
      <c r="O18" s="7" t="s">
        <v>21</v>
      </c>
      <c r="P18" s="7" t="s">
        <v>21</v>
      </c>
    </row>
    <row r="19" spans="1:17" ht="15" customHeight="1" x14ac:dyDescent="0.25">
      <c r="A19" s="4" t="s">
        <v>33</v>
      </c>
      <c r="B19" s="5" t="s">
        <v>21</v>
      </c>
      <c r="C19" s="5" t="s">
        <v>21</v>
      </c>
      <c r="D19" s="5" t="s">
        <v>21</v>
      </c>
      <c r="E19" s="5" t="s">
        <v>21</v>
      </c>
      <c r="F19" s="5" t="s">
        <v>21</v>
      </c>
      <c r="G19" s="5" t="s">
        <v>21</v>
      </c>
      <c r="H19" s="5" t="s">
        <v>21</v>
      </c>
      <c r="I19" s="5" t="s">
        <v>21</v>
      </c>
      <c r="J19" s="5" t="s">
        <v>21</v>
      </c>
      <c r="K19" s="5" t="s">
        <v>21</v>
      </c>
      <c r="L19" s="5">
        <v>2189</v>
      </c>
      <c r="M19" s="5">
        <v>2129</v>
      </c>
      <c r="N19" s="5">
        <v>1087</v>
      </c>
      <c r="O19" s="5" t="s">
        <v>21</v>
      </c>
      <c r="P19" s="5" t="s">
        <v>21</v>
      </c>
    </row>
    <row r="20" spans="1:17" ht="15" customHeight="1" x14ac:dyDescent="0.25">
      <c r="A20" s="6" t="s">
        <v>34</v>
      </c>
      <c r="B20" s="6" t="s">
        <v>21</v>
      </c>
      <c r="C20" s="6" t="s">
        <v>21</v>
      </c>
      <c r="D20" s="6" t="s">
        <v>21</v>
      </c>
      <c r="E20" s="6" t="s">
        <v>21</v>
      </c>
      <c r="F20" s="6" t="s">
        <v>21</v>
      </c>
      <c r="G20" s="6" t="s">
        <v>21</v>
      </c>
      <c r="H20" s="6" t="s">
        <v>21</v>
      </c>
      <c r="I20" s="6" t="s">
        <v>21</v>
      </c>
      <c r="J20" s="6" t="s">
        <v>21</v>
      </c>
      <c r="K20" s="6" t="s">
        <v>21</v>
      </c>
      <c r="L20" s="6"/>
      <c r="M20" s="6" t="s">
        <v>21</v>
      </c>
      <c r="N20" s="6" t="s">
        <v>21</v>
      </c>
      <c r="O20" s="6" t="s">
        <v>21</v>
      </c>
      <c r="P20" s="6"/>
    </row>
    <row r="21" spans="1:17" ht="15" customHeight="1" x14ac:dyDescent="0.25">
      <c r="A21" s="4" t="s">
        <v>35</v>
      </c>
      <c r="B21" s="5" t="s">
        <v>21</v>
      </c>
      <c r="C21" s="5" t="s">
        <v>21</v>
      </c>
      <c r="D21" s="5" t="s">
        <v>21</v>
      </c>
      <c r="E21" s="5" t="s">
        <v>21</v>
      </c>
      <c r="F21" s="5" t="s">
        <v>21</v>
      </c>
      <c r="G21" s="5" t="s">
        <v>21</v>
      </c>
      <c r="H21" s="5" t="s">
        <v>21</v>
      </c>
      <c r="I21" s="5" t="s">
        <v>21</v>
      </c>
      <c r="J21" s="5" t="s">
        <v>21</v>
      </c>
      <c r="K21" s="5" t="s">
        <v>21</v>
      </c>
      <c r="L21" s="5">
        <v>2129</v>
      </c>
      <c r="M21" s="5">
        <v>2180</v>
      </c>
      <c r="N21" s="5">
        <v>1087</v>
      </c>
      <c r="O21" s="5" t="s">
        <v>21</v>
      </c>
      <c r="P21" s="5" t="s">
        <v>21</v>
      </c>
    </row>
    <row r="22" spans="1:17" ht="15" customHeight="1" x14ac:dyDescent="0.25">
      <c r="A22" s="6" t="s">
        <v>36</v>
      </c>
      <c r="B22" s="7" t="s">
        <v>21</v>
      </c>
      <c r="C22" s="7" t="s">
        <v>21</v>
      </c>
      <c r="D22" s="7" t="s">
        <v>21</v>
      </c>
      <c r="E22" s="7" t="s">
        <v>21</v>
      </c>
      <c r="F22" s="7" t="s">
        <v>21</v>
      </c>
      <c r="G22" s="7" t="s">
        <v>21</v>
      </c>
      <c r="H22" s="7" t="s">
        <v>21</v>
      </c>
      <c r="I22" s="7" t="s">
        <v>21</v>
      </c>
      <c r="J22" s="7" t="s">
        <v>21</v>
      </c>
      <c r="K22" s="7" t="s">
        <v>21</v>
      </c>
      <c r="L22" s="7">
        <v>2129</v>
      </c>
      <c r="M22" s="7">
        <v>2180</v>
      </c>
      <c r="N22" s="7" t="s">
        <v>21</v>
      </c>
      <c r="O22" s="7" t="s">
        <v>21</v>
      </c>
      <c r="P22" s="7" t="s">
        <v>21</v>
      </c>
    </row>
    <row r="23" spans="1:17" ht="15" customHeight="1" x14ac:dyDescent="0.25">
      <c r="A23" s="4" t="s">
        <v>37</v>
      </c>
      <c r="B23" s="5" t="s">
        <v>21</v>
      </c>
      <c r="C23" s="5" t="s">
        <v>21</v>
      </c>
      <c r="D23" s="5" t="s">
        <v>21</v>
      </c>
      <c r="E23" s="5" t="s">
        <v>21</v>
      </c>
      <c r="F23" s="5" t="s">
        <v>21</v>
      </c>
      <c r="G23" s="5" t="s">
        <v>21</v>
      </c>
      <c r="H23" s="5" t="s">
        <v>21</v>
      </c>
      <c r="I23" s="5" t="s">
        <v>21</v>
      </c>
      <c r="J23" s="5" t="s">
        <v>21</v>
      </c>
      <c r="K23" s="5" t="s">
        <v>21</v>
      </c>
      <c r="L23" s="5" t="s">
        <v>21</v>
      </c>
      <c r="M23" s="5" t="s">
        <v>21</v>
      </c>
      <c r="N23" s="5" t="s">
        <v>21</v>
      </c>
      <c r="O23" s="5" t="s">
        <v>21</v>
      </c>
      <c r="P23" s="5" t="s">
        <v>21</v>
      </c>
    </row>
    <row r="24" spans="1:17" ht="15" customHeight="1" x14ac:dyDescent="0.25">
      <c r="A24" s="6" t="s">
        <v>38</v>
      </c>
      <c r="B24" s="7" t="s">
        <v>21</v>
      </c>
      <c r="C24" s="7" t="s">
        <v>21</v>
      </c>
      <c r="D24" s="7" t="s">
        <v>21</v>
      </c>
      <c r="E24" s="7" t="s">
        <v>21</v>
      </c>
      <c r="F24" s="7" t="s">
        <v>21</v>
      </c>
      <c r="G24" s="7" t="s">
        <v>21</v>
      </c>
      <c r="H24" s="7" t="s">
        <v>21</v>
      </c>
      <c r="I24" s="7" t="s">
        <v>21</v>
      </c>
      <c r="J24" s="7" t="s">
        <v>21</v>
      </c>
      <c r="K24" s="7" t="s">
        <v>21</v>
      </c>
      <c r="L24" s="7">
        <v>1957</v>
      </c>
      <c r="M24" s="7">
        <v>1893</v>
      </c>
      <c r="N24" s="7">
        <v>819</v>
      </c>
      <c r="O24" s="7" t="s">
        <v>21</v>
      </c>
      <c r="P24" s="7" t="s">
        <v>21</v>
      </c>
    </row>
    <row r="25" spans="1:17" ht="15" customHeight="1" x14ac:dyDescent="0.25">
      <c r="A25" s="4" t="s">
        <v>39</v>
      </c>
      <c r="B25" s="5" t="s">
        <v>21</v>
      </c>
      <c r="C25" s="5" t="s">
        <v>21</v>
      </c>
      <c r="D25" s="5" t="s">
        <v>21</v>
      </c>
      <c r="E25" s="5" t="s">
        <v>21</v>
      </c>
      <c r="F25" s="5" t="s">
        <v>21</v>
      </c>
      <c r="G25" s="5" t="s">
        <v>21</v>
      </c>
      <c r="H25" s="5" t="s">
        <v>21</v>
      </c>
      <c r="I25" s="5" t="s">
        <v>21</v>
      </c>
      <c r="J25" s="5" t="s">
        <v>21</v>
      </c>
      <c r="K25" s="5" t="s">
        <v>21</v>
      </c>
      <c r="L25" s="5" t="s">
        <v>21</v>
      </c>
      <c r="M25" s="5" t="s">
        <v>21</v>
      </c>
      <c r="N25" s="5" t="s">
        <v>21</v>
      </c>
      <c r="O25" s="5" t="s">
        <v>21</v>
      </c>
      <c r="P25" s="5" t="s">
        <v>21</v>
      </c>
    </row>
    <row r="26" spans="1:17" ht="15" customHeight="1" x14ac:dyDescent="0.25">
      <c r="A26" s="6" t="s">
        <v>40</v>
      </c>
      <c r="B26" s="7" t="s">
        <v>21</v>
      </c>
      <c r="C26" s="7" t="s">
        <v>21</v>
      </c>
      <c r="D26" s="7" t="s">
        <v>21</v>
      </c>
      <c r="E26" s="7" t="s">
        <v>21</v>
      </c>
      <c r="F26" s="7" t="s">
        <v>21</v>
      </c>
      <c r="G26" s="7" t="s">
        <v>21</v>
      </c>
      <c r="H26" s="7" t="s">
        <v>21</v>
      </c>
      <c r="I26" s="7" t="s">
        <v>21</v>
      </c>
      <c r="J26" s="7" t="s">
        <v>21</v>
      </c>
      <c r="K26" s="7" t="s">
        <v>21</v>
      </c>
      <c r="L26" s="7">
        <v>1957</v>
      </c>
      <c r="M26" s="7">
        <v>1893</v>
      </c>
      <c r="N26" s="7">
        <v>819</v>
      </c>
      <c r="O26" s="7" t="s">
        <v>21</v>
      </c>
      <c r="P26" s="7" t="s">
        <v>21</v>
      </c>
    </row>
    <row r="27" spans="1:17" ht="15" customHeight="1" x14ac:dyDescent="0.25">
      <c r="A27" s="4" t="s">
        <v>41</v>
      </c>
      <c r="B27" s="5" t="s">
        <v>21</v>
      </c>
      <c r="C27" s="5" t="s">
        <v>21</v>
      </c>
      <c r="D27" s="5" t="s">
        <v>21</v>
      </c>
      <c r="E27" s="5" t="s">
        <v>21</v>
      </c>
      <c r="F27" s="5" t="s">
        <v>21</v>
      </c>
      <c r="G27" s="5" t="s">
        <v>21</v>
      </c>
      <c r="H27" s="5" t="s">
        <v>21</v>
      </c>
      <c r="I27" s="5" t="s">
        <v>21</v>
      </c>
      <c r="J27" s="5" t="s">
        <v>21</v>
      </c>
      <c r="K27" s="5" t="s">
        <v>21</v>
      </c>
      <c r="L27" s="5">
        <v>-438</v>
      </c>
      <c r="M27" s="5">
        <v>-552</v>
      </c>
      <c r="N27" s="5">
        <v>-275</v>
      </c>
      <c r="O27" s="5" t="s">
        <v>21</v>
      </c>
      <c r="P27" s="5" t="s">
        <v>21</v>
      </c>
    </row>
    <row r="28" spans="1:17" ht="15" customHeight="1" x14ac:dyDescent="0.25">
      <c r="A28" s="6" t="s">
        <v>42</v>
      </c>
      <c r="B28" s="7" t="s">
        <v>21</v>
      </c>
      <c r="C28" s="7" t="s">
        <v>21</v>
      </c>
      <c r="D28" s="7" t="s">
        <v>21</v>
      </c>
      <c r="E28" s="7" t="s">
        <v>21</v>
      </c>
      <c r="F28" s="7" t="s">
        <v>21</v>
      </c>
      <c r="G28" s="7" t="s">
        <v>21</v>
      </c>
      <c r="H28" s="7" t="s">
        <v>21</v>
      </c>
      <c r="I28" s="7" t="s">
        <v>21</v>
      </c>
      <c r="J28" s="7" t="s">
        <v>21</v>
      </c>
      <c r="K28" s="7">
        <v>813</v>
      </c>
      <c r="L28" s="7">
        <v>1529</v>
      </c>
      <c r="M28" s="7">
        <v>1341</v>
      </c>
      <c r="N28" s="7">
        <v>544</v>
      </c>
      <c r="O28" s="7" t="s">
        <v>21</v>
      </c>
      <c r="P28" s="7" t="s">
        <v>21</v>
      </c>
    </row>
    <row r="29" spans="1:17" ht="15" customHeight="1" x14ac:dyDescent="0.25">
      <c r="A29" s="4" t="s">
        <v>43</v>
      </c>
      <c r="B29" s="5" t="s">
        <v>21</v>
      </c>
      <c r="C29" s="5" t="s">
        <v>21</v>
      </c>
      <c r="D29" s="5" t="s">
        <v>21</v>
      </c>
      <c r="E29" s="5" t="s">
        <v>21</v>
      </c>
      <c r="F29" s="5" t="s">
        <v>21</v>
      </c>
      <c r="G29" s="5" t="s">
        <v>21</v>
      </c>
      <c r="H29" s="5" t="s">
        <v>21</v>
      </c>
      <c r="I29" s="5" t="s">
        <v>21</v>
      </c>
      <c r="J29" s="5" t="s">
        <v>21</v>
      </c>
      <c r="K29" s="5" t="s">
        <v>21</v>
      </c>
      <c r="L29" s="5">
        <v>1529</v>
      </c>
      <c r="M29" s="5">
        <v>1341</v>
      </c>
      <c r="N29" s="5" t="s">
        <v>21</v>
      </c>
      <c r="O29" s="5" t="s">
        <v>21</v>
      </c>
      <c r="P29" s="5" t="s">
        <v>21</v>
      </c>
    </row>
    <row r="30" spans="1:17" ht="15" customHeight="1" x14ac:dyDescent="0.25">
      <c r="A30" s="6" t="s">
        <v>44</v>
      </c>
      <c r="B30" s="7" t="s">
        <v>21</v>
      </c>
      <c r="C30" s="7" t="s">
        <v>21</v>
      </c>
      <c r="D30" s="7" t="s">
        <v>21</v>
      </c>
      <c r="E30" s="7" t="s">
        <v>21</v>
      </c>
      <c r="F30" s="7" t="s">
        <v>21</v>
      </c>
      <c r="G30" s="7" t="s">
        <v>21</v>
      </c>
      <c r="H30" s="7" t="s">
        <v>21</v>
      </c>
      <c r="I30" s="7" t="s">
        <v>21</v>
      </c>
      <c r="J30" s="7" t="s">
        <v>21</v>
      </c>
      <c r="K30" s="7" t="s">
        <v>21</v>
      </c>
      <c r="L30" s="5">
        <v>1529</v>
      </c>
      <c r="M30" s="5">
        <v>1341</v>
      </c>
      <c r="N30" s="7" t="s">
        <v>21</v>
      </c>
      <c r="O30" s="7" t="s">
        <v>21</v>
      </c>
      <c r="P30" s="7" t="s">
        <v>21</v>
      </c>
      <c r="Q30" s="7" t="s">
        <v>21</v>
      </c>
    </row>
    <row r="31" spans="1:17" ht="15" customHeight="1" x14ac:dyDescent="0.3">
      <c r="A31" s="83" t="s">
        <v>97</v>
      </c>
      <c r="B31" s="7" t="s">
        <v>21</v>
      </c>
      <c r="C31" s="7" t="s">
        <v>21</v>
      </c>
      <c r="D31" s="7" t="s">
        <v>21</v>
      </c>
      <c r="E31" s="7" t="s">
        <v>21</v>
      </c>
      <c r="F31" s="7" t="s">
        <v>21</v>
      </c>
      <c r="G31" s="7" t="s">
        <v>21</v>
      </c>
      <c r="H31" s="7" t="s">
        <v>21</v>
      </c>
      <c r="I31" s="7" t="s">
        <v>21</v>
      </c>
      <c r="J31" s="7" t="s">
        <v>21</v>
      </c>
      <c r="K31" s="7" t="s">
        <v>21</v>
      </c>
      <c r="L31" s="7"/>
      <c r="M31" s="7" t="s">
        <v>21</v>
      </c>
      <c r="N31" s="7" t="s">
        <v>21</v>
      </c>
      <c r="O31" s="7" t="s">
        <v>21</v>
      </c>
      <c r="P31" s="7" t="s">
        <v>21</v>
      </c>
    </row>
    <row r="32" spans="1:17" ht="15" customHeight="1" x14ac:dyDescent="0.25">
      <c r="A32" s="6" t="s">
        <v>98</v>
      </c>
      <c r="B32" s="7" t="s">
        <v>21</v>
      </c>
      <c r="C32" s="7" t="s">
        <v>21</v>
      </c>
      <c r="D32" s="7" t="s">
        <v>21</v>
      </c>
      <c r="E32" s="7" t="s">
        <v>21</v>
      </c>
      <c r="F32" s="7" t="s">
        <v>21</v>
      </c>
      <c r="G32" s="7" t="s">
        <v>21</v>
      </c>
      <c r="H32" s="7" t="s">
        <v>21</v>
      </c>
      <c r="I32" s="7" t="s">
        <v>21</v>
      </c>
      <c r="J32" s="7" t="s">
        <v>21</v>
      </c>
      <c r="K32" s="7" t="s">
        <v>21</v>
      </c>
      <c r="L32" s="85">
        <f>L15/L5</f>
        <v>0.3342602892102336</v>
      </c>
      <c r="M32" s="85">
        <f>M15/M5</f>
        <v>0.30375050140393101</v>
      </c>
      <c r="N32" s="85">
        <f>N15/N5</f>
        <v>0.26616854483096519</v>
      </c>
      <c r="O32" s="7" t="s">
        <v>21</v>
      </c>
      <c r="P32" s="7" t="s">
        <v>21</v>
      </c>
    </row>
    <row r="33" spans="1:16" ht="15" customHeight="1" x14ac:dyDescent="0.25">
      <c r="A33" s="82" t="s">
        <v>99</v>
      </c>
      <c r="B33" s="7" t="s">
        <v>21</v>
      </c>
      <c r="C33" s="7" t="s">
        <v>21</v>
      </c>
      <c r="D33" s="7" t="s">
        <v>21</v>
      </c>
      <c r="E33" s="7" t="s">
        <v>21</v>
      </c>
      <c r="F33" s="7" t="s">
        <v>21</v>
      </c>
      <c r="G33" s="7" t="s">
        <v>21</v>
      </c>
      <c r="H33" s="7" t="s">
        <v>21</v>
      </c>
      <c r="I33" s="7" t="s">
        <v>21</v>
      </c>
      <c r="J33" s="7" t="s">
        <v>21</v>
      </c>
      <c r="K33" s="7" t="s">
        <v>21</v>
      </c>
      <c r="L33" s="85">
        <f>L21/L5</f>
        <v>0.23681868743047832</v>
      </c>
      <c r="M33" s="85">
        <f>M21/M5</f>
        <v>0.21861211391897312</v>
      </c>
      <c r="N33" s="85">
        <f>N21/N5</f>
        <v>0.1331455169034787</v>
      </c>
      <c r="O33" s="7" t="s">
        <v>21</v>
      </c>
      <c r="P33" s="7" t="s">
        <v>21</v>
      </c>
    </row>
    <row r="34" spans="1:16" ht="15" customHeight="1" x14ac:dyDescent="0.25">
      <c r="A34" s="6" t="s">
        <v>100</v>
      </c>
      <c r="B34" s="7" t="s">
        <v>21</v>
      </c>
      <c r="C34" s="7" t="s">
        <v>21</v>
      </c>
      <c r="D34" s="7" t="s">
        <v>21</v>
      </c>
      <c r="E34" s="7" t="s">
        <v>21</v>
      </c>
      <c r="F34" s="7" t="s">
        <v>21</v>
      </c>
      <c r="G34" s="7" t="s">
        <v>21</v>
      </c>
      <c r="H34" s="7" t="s">
        <v>21</v>
      </c>
      <c r="I34" s="7" t="s">
        <v>21</v>
      </c>
      <c r="J34" s="7" t="s">
        <v>21</v>
      </c>
      <c r="K34" s="7" t="s">
        <v>21</v>
      </c>
      <c r="L34" s="85">
        <f>L28/L5</f>
        <v>0.17007786429365962</v>
      </c>
      <c r="M34" s="85">
        <f>M28/M5</f>
        <v>0.13447653429602888</v>
      </c>
      <c r="N34" s="85">
        <f>N28/N5</f>
        <v>6.6634002939735426E-2</v>
      </c>
      <c r="O34" s="7" t="s">
        <v>21</v>
      </c>
      <c r="P34" s="7" t="s">
        <v>21</v>
      </c>
    </row>
    <row r="35" spans="1:16" ht="15" customHeight="1" x14ac:dyDescent="0.25">
      <c r="A35" s="2" t="s">
        <v>101</v>
      </c>
      <c r="B35" s="7" t="s">
        <v>21</v>
      </c>
      <c r="C35" s="7" t="s">
        <v>21</v>
      </c>
      <c r="D35" s="7" t="s">
        <v>21</v>
      </c>
      <c r="E35" s="7" t="s">
        <v>21</v>
      </c>
      <c r="F35" s="7" t="s">
        <v>21</v>
      </c>
      <c r="G35" s="7" t="s">
        <v>21</v>
      </c>
      <c r="H35" s="7" t="s">
        <v>21</v>
      </c>
      <c r="I35" s="7" t="s">
        <v>21</v>
      </c>
      <c r="J35" s="7" t="s">
        <v>21</v>
      </c>
      <c r="K35" s="7" t="s">
        <v>21</v>
      </c>
      <c r="L35" s="7" t="s">
        <v>21</v>
      </c>
      <c r="M35" s="7" t="s">
        <v>21</v>
      </c>
      <c r="N35" s="7" t="s">
        <v>21</v>
      </c>
      <c r="O35" s="7" t="s">
        <v>21</v>
      </c>
      <c r="P35" s="7" t="s">
        <v>21</v>
      </c>
    </row>
    <row r="36" spans="1:16" ht="15" customHeight="1" x14ac:dyDescent="0.25">
      <c r="A36" s="84" t="s">
        <v>102</v>
      </c>
      <c r="B36" s="7" t="s">
        <v>21</v>
      </c>
      <c r="C36" s="7" t="s">
        <v>21</v>
      </c>
      <c r="D36" s="7" t="s">
        <v>21</v>
      </c>
      <c r="E36" s="7" t="s">
        <v>21</v>
      </c>
      <c r="F36" s="7" t="s">
        <v>21</v>
      </c>
      <c r="G36" s="7" t="s">
        <v>21</v>
      </c>
      <c r="H36" s="7" t="s">
        <v>21</v>
      </c>
      <c r="I36" s="7" t="s">
        <v>21</v>
      </c>
      <c r="J36" s="7" t="s">
        <v>21</v>
      </c>
      <c r="K36" s="7" t="s">
        <v>21</v>
      </c>
      <c r="L36" s="7" t="s">
        <v>21</v>
      </c>
      <c r="M36" s="7" t="s">
        <v>21</v>
      </c>
      <c r="N36" s="7" t="s">
        <v>21</v>
      </c>
      <c r="O36" s="7" t="s">
        <v>21</v>
      </c>
      <c r="P36" s="7" t="s">
        <v>21</v>
      </c>
    </row>
    <row r="37" spans="1:16" ht="15" customHeight="1" x14ac:dyDescent="0.25">
      <c r="A37" s="2" t="s">
        <v>103</v>
      </c>
      <c r="B37" s="7" t="s">
        <v>21</v>
      </c>
      <c r="C37" s="7" t="s">
        <v>21</v>
      </c>
      <c r="D37" s="7" t="s">
        <v>21</v>
      </c>
      <c r="E37" s="7" t="s">
        <v>21</v>
      </c>
      <c r="F37" s="7" t="s">
        <v>21</v>
      </c>
      <c r="G37" s="7" t="s">
        <v>21</v>
      </c>
      <c r="H37" s="7" t="s">
        <v>21</v>
      </c>
      <c r="I37" s="7" t="s">
        <v>21</v>
      </c>
      <c r="J37" s="7" t="s">
        <v>21</v>
      </c>
      <c r="K37" s="7" t="s">
        <v>21</v>
      </c>
      <c r="L37" s="85">
        <f>L27/L26</f>
        <v>-0.22381195707715892</v>
      </c>
      <c r="M37" s="85">
        <f>M27/M26</f>
        <v>-0.29160063391442154</v>
      </c>
      <c r="N37" s="85">
        <f>N27/N26</f>
        <v>-0.33577533577533575</v>
      </c>
      <c r="O37" s="7" t="s">
        <v>21</v>
      </c>
      <c r="P37" s="7" t="s">
        <v>21</v>
      </c>
    </row>
    <row r="38" spans="1:16" ht="15" customHeight="1" x14ac:dyDescent="0.25">
      <c r="A38" s="84" t="s">
        <v>104</v>
      </c>
      <c r="B38" s="7" t="s">
        <v>21</v>
      </c>
      <c r="C38" s="7" t="s">
        <v>21</v>
      </c>
      <c r="D38" s="7" t="s">
        <v>21</v>
      </c>
      <c r="E38" s="7" t="s">
        <v>21</v>
      </c>
      <c r="F38" s="7" t="s">
        <v>21</v>
      </c>
      <c r="G38" s="7" t="s">
        <v>21</v>
      </c>
      <c r="H38" s="7" t="s">
        <v>21</v>
      </c>
      <c r="I38" s="7" t="s">
        <v>21</v>
      </c>
      <c r="J38" s="7" t="s">
        <v>21</v>
      </c>
      <c r="K38" s="7" t="s">
        <v>21</v>
      </c>
      <c r="L38" s="7" t="s">
        <v>21</v>
      </c>
      <c r="M38" s="7" t="s">
        <v>21</v>
      </c>
      <c r="N38" s="7" t="s">
        <v>21</v>
      </c>
      <c r="O38" s="7" t="s">
        <v>21</v>
      </c>
      <c r="P38" s="7" t="s">
        <v>21</v>
      </c>
    </row>
    <row r="39" spans="1:16" ht="15" customHeight="1" x14ac:dyDescent="0.25">
      <c r="A39" s="2" t="s">
        <v>105</v>
      </c>
      <c r="B39" s="7" t="s">
        <v>21</v>
      </c>
      <c r="C39" s="7" t="s">
        <v>21</v>
      </c>
      <c r="D39" s="7" t="s">
        <v>21</v>
      </c>
      <c r="E39" s="7" t="s">
        <v>21</v>
      </c>
      <c r="F39" s="7" t="s">
        <v>21</v>
      </c>
      <c r="G39" s="7" t="s">
        <v>21</v>
      </c>
      <c r="H39" s="7" t="s">
        <v>21</v>
      </c>
      <c r="I39" s="7" t="s">
        <v>21</v>
      </c>
      <c r="J39" s="7" t="s">
        <v>21</v>
      </c>
      <c r="K39" s="7" t="s">
        <v>21</v>
      </c>
      <c r="L39" s="85">
        <f>L18/L5</f>
        <v>8.5539488320355947E-2</v>
      </c>
      <c r="M39" s="85">
        <f>M18/M5</f>
        <v>8.5138387484957875E-2</v>
      </c>
      <c r="N39" s="85">
        <f>N18/N5</f>
        <v>0.11869181773640372</v>
      </c>
      <c r="O39" s="7" t="s">
        <v>21</v>
      </c>
      <c r="P39" s="7" t="s">
        <v>21</v>
      </c>
    </row>
  </sheetData>
  <phoneticPr fontId="25" type="noConversion"/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99695-58F3-4CD4-90DA-B503E392CA39}">
  <dimension ref="A2:J22"/>
  <sheetViews>
    <sheetView showGridLines="0" zoomScale="129" zoomScaleNormal="150" workbookViewId="0">
      <selection activeCell="D26" sqref="D26"/>
    </sheetView>
  </sheetViews>
  <sheetFormatPr baseColWidth="10" defaultColWidth="9.54296875" defaultRowHeight="14.5" outlineLevelCol="1" x14ac:dyDescent="0.35"/>
  <cols>
    <col min="1" max="1" width="3.54296875" customWidth="1"/>
    <col min="5" max="10" width="9.54296875" customWidth="1" outlineLevel="1"/>
    <col min="11" max="18" width="9.54296875" customWidth="1"/>
    <col min="22" max="26" width="10.453125" bestFit="1" customWidth="1"/>
    <col min="27" max="27" width="12" bestFit="1" customWidth="1"/>
    <col min="30" max="30" width="10.453125" bestFit="1" customWidth="1"/>
  </cols>
  <sheetData>
    <row r="2" spans="1:9" s="10" customFormat="1" ht="21" x14ac:dyDescent="0.5">
      <c r="B2" s="11" t="s">
        <v>66</v>
      </c>
    </row>
    <row r="4" spans="1:9" x14ac:dyDescent="0.35">
      <c r="A4" t="s">
        <v>48</v>
      </c>
      <c r="B4" s="13" t="s">
        <v>66</v>
      </c>
      <c r="C4" s="12"/>
      <c r="D4" s="12"/>
      <c r="E4" s="12"/>
      <c r="F4" s="12"/>
      <c r="G4" s="12"/>
      <c r="H4" s="12"/>
      <c r="I4" s="12"/>
    </row>
    <row r="5" spans="1:9" x14ac:dyDescent="0.35">
      <c r="B5" s="28" t="s">
        <v>90</v>
      </c>
    </row>
    <row r="6" spans="1:9" x14ac:dyDescent="0.35">
      <c r="B6" s="28" t="s">
        <v>91</v>
      </c>
    </row>
    <row r="8" spans="1:9" x14ac:dyDescent="0.35">
      <c r="B8" t="s">
        <v>80</v>
      </c>
      <c r="D8" s="22">
        <f>Empty!N60</f>
        <v>47556</v>
      </c>
    </row>
    <row r="9" spans="1:9" x14ac:dyDescent="0.35">
      <c r="B9" t="s">
        <v>81</v>
      </c>
      <c r="D9" s="68">
        <f>D8/D20</f>
        <v>3.6650441291165854E-2</v>
      </c>
    </row>
    <row r="10" spans="1:9" x14ac:dyDescent="0.35">
      <c r="B10" t="s">
        <v>82</v>
      </c>
      <c r="D10" s="67">
        <v>0.02</v>
      </c>
    </row>
    <row r="11" spans="1:9" x14ac:dyDescent="0.35">
      <c r="B11" t="s">
        <v>83</v>
      </c>
      <c r="D11" s="67">
        <v>0.21</v>
      </c>
    </row>
    <row r="13" spans="1:9" x14ac:dyDescent="0.35">
      <c r="B13" t="s">
        <v>73</v>
      </c>
      <c r="D13" s="22">
        <v>1250000</v>
      </c>
    </row>
    <row r="14" spans="1:9" x14ac:dyDescent="0.35">
      <c r="B14" t="s">
        <v>84</v>
      </c>
      <c r="D14" s="26">
        <f>D13/D20</f>
        <v>0.9633495587088341</v>
      </c>
    </row>
    <row r="15" spans="1:9" x14ac:dyDescent="0.35">
      <c r="B15" t="s">
        <v>85</v>
      </c>
      <c r="D15" s="35">
        <f>D16+D17*D18</f>
        <v>8.0579999999999999E-2</v>
      </c>
    </row>
    <row r="16" spans="1:9" x14ac:dyDescent="0.35">
      <c r="B16" t="s">
        <v>86</v>
      </c>
      <c r="D16" s="67">
        <v>2.758E-2</v>
      </c>
    </row>
    <row r="17" spans="1:4" x14ac:dyDescent="0.35">
      <c r="B17" t="s">
        <v>87</v>
      </c>
      <c r="D17" s="69">
        <v>1.25</v>
      </c>
    </row>
    <row r="18" spans="1:4" x14ac:dyDescent="0.35">
      <c r="B18" t="s">
        <v>88</v>
      </c>
      <c r="D18" s="67">
        <v>4.24E-2</v>
      </c>
    </row>
    <row r="20" spans="1:4" x14ac:dyDescent="0.35">
      <c r="B20" t="s">
        <v>89</v>
      </c>
      <c r="D20" s="22">
        <f>D8+D13</f>
        <v>1297556</v>
      </c>
    </row>
    <row r="22" spans="1:4" x14ac:dyDescent="0.35">
      <c r="A22" t="s">
        <v>48</v>
      </c>
      <c r="B22" s="70" t="s">
        <v>66</v>
      </c>
      <c r="C22" s="71"/>
      <c r="D22" s="72">
        <f>(D9*D10*(1-D11))+(D14*D15)</f>
        <v>7.8205784413158272E-2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B2767-1736-4A14-8323-408DBBA51C13}">
  <sheetPr>
    <outlinePr summaryBelow="0" summaryRight="0"/>
  </sheetPr>
  <dimension ref="A1:T129"/>
  <sheetViews>
    <sheetView topLeftCell="A5" zoomScale="50" workbookViewId="0">
      <selection activeCell="A51" sqref="A51"/>
    </sheetView>
  </sheetViews>
  <sheetFormatPr baseColWidth="10" defaultColWidth="9.1796875" defaultRowHeight="15" customHeight="1" outlineLevelRow="4" x14ac:dyDescent="0.35"/>
  <cols>
    <col min="1" max="1" width="137.453125" style="2" customWidth="1"/>
    <col min="2" max="11" width="10.453125" style="2" customWidth="1"/>
    <col min="21" max="16384" width="9.1796875" style="2"/>
  </cols>
  <sheetData>
    <row r="1" spans="1:20" ht="15" customHeight="1" x14ac:dyDescent="0.3">
      <c r="A1" s="1"/>
      <c r="L1" s="2"/>
      <c r="M1" s="2"/>
      <c r="N1" s="2"/>
      <c r="O1" s="2"/>
      <c r="P1" s="2"/>
      <c r="Q1" s="2"/>
      <c r="R1" s="2"/>
      <c r="S1" s="2"/>
      <c r="T1" s="2"/>
    </row>
    <row r="2" spans="1:20" ht="15" customHeight="1" x14ac:dyDescent="0.25">
      <c r="A2" s="88"/>
      <c r="L2" s="2"/>
      <c r="M2" s="2"/>
      <c r="N2" s="2"/>
      <c r="O2" s="2"/>
      <c r="P2" s="2"/>
      <c r="Q2" s="2"/>
      <c r="R2" s="2"/>
      <c r="S2" s="2"/>
      <c r="T2" s="2"/>
    </row>
    <row r="3" spans="1:20" ht="15" customHeight="1" x14ac:dyDescent="0.25">
      <c r="A3" s="89"/>
      <c r="B3" s="89"/>
      <c r="C3" s="89"/>
      <c r="D3" s="89"/>
      <c r="E3" s="89"/>
      <c r="F3" s="89"/>
      <c r="G3" s="89"/>
      <c r="H3" s="89"/>
      <c r="I3" s="89"/>
      <c r="J3" s="89"/>
      <c r="K3" s="89"/>
      <c r="L3" s="2"/>
      <c r="M3" s="2"/>
      <c r="N3" s="2"/>
      <c r="O3" s="2"/>
      <c r="P3" s="2"/>
      <c r="Q3" s="2"/>
      <c r="R3" s="2"/>
      <c r="S3" s="2"/>
      <c r="T3" s="2"/>
    </row>
    <row r="4" spans="1:20" ht="15" customHeight="1" x14ac:dyDescent="0.45">
      <c r="A4" s="106" t="s">
        <v>120</v>
      </c>
      <c r="B4"/>
      <c r="C4"/>
      <c r="D4"/>
      <c r="L4" s="2"/>
      <c r="M4" s="2"/>
      <c r="N4" s="2"/>
      <c r="O4" s="2"/>
      <c r="P4" s="2"/>
      <c r="Q4" s="2"/>
      <c r="R4" s="2"/>
      <c r="S4" s="2"/>
      <c r="T4" s="2"/>
    </row>
    <row r="5" spans="1:20" ht="15" customHeight="1" x14ac:dyDescent="0.35">
      <c r="A5" s="107" t="s">
        <v>121</v>
      </c>
      <c r="B5"/>
      <c r="C5"/>
      <c r="D5"/>
      <c r="E5" s="90"/>
      <c r="F5" s="90"/>
      <c r="G5" s="90"/>
      <c r="H5" s="90"/>
      <c r="I5" s="90"/>
      <c r="J5" s="90"/>
      <c r="K5" s="90"/>
      <c r="L5" s="2"/>
      <c r="M5" s="2"/>
      <c r="N5" s="2"/>
      <c r="O5" s="2"/>
      <c r="P5" s="2"/>
      <c r="Q5" s="2"/>
      <c r="R5" s="2"/>
      <c r="S5" s="2"/>
      <c r="T5" s="2"/>
    </row>
    <row r="6" spans="1:20" ht="15" customHeight="1" x14ac:dyDescent="0.35">
      <c r="A6" s="108" t="s">
        <v>122</v>
      </c>
      <c r="B6"/>
      <c r="C6"/>
      <c r="D6"/>
      <c r="E6" s="90"/>
      <c r="F6" s="90"/>
      <c r="G6" s="90"/>
      <c r="H6" s="90"/>
      <c r="I6" s="90"/>
      <c r="J6" s="90"/>
      <c r="K6" s="90"/>
      <c r="L6" s="2"/>
      <c r="M6" s="2"/>
      <c r="N6" s="2"/>
      <c r="O6" s="2"/>
      <c r="P6" s="2"/>
      <c r="Q6" s="2"/>
      <c r="R6" s="2"/>
      <c r="S6" s="2"/>
      <c r="T6" s="2"/>
    </row>
    <row r="7" spans="1:20" ht="15" customHeight="1" x14ac:dyDescent="0.35">
      <c r="A7"/>
      <c r="B7"/>
      <c r="C7"/>
      <c r="D7"/>
      <c r="E7" s="90"/>
      <c r="F7" s="90"/>
      <c r="G7" s="90"/>
      <c r="H7" s="90"/>
      <c r="I7" s="90"/>
      <c r="J7" s="90"/>
      <c r="K7" s="90"/>
      <c r="L7" s="2"/>
      <c r="M7" s="2"/>
      <c r="N7" s="2"/>
      <c r="O7" s="2"/>
      <c r="P7" s="2"/>
      <c r="Q7" s="2"/>
      <c r="R7" s="2"/>
      <c r="S7" s="2"/>
      <c r="T7" s="2"/>
    </row>
    <row r="8" spans="1:20" ht="15" customHeight="1" x14ac:dyDescent="0.3">
      <c r="A8" s="109" t="s">
        <v>123</v>
      </c>
      <c r="B8" s="112">
        <v>2022</v>
      </c>
      <c r="C8" s="112">
        <v>2023</v>
      </c>
      <c r="D8" s="112">
        <v>2024</v>
      </c>
      <c r="E8" s="112">
        <v>2025</v>
      </c>
      <c r="F8" s="112" t="s">
        <v>147</v>
      </c>
      <c r="G8" s="112"/>
      <c r="H8" s="90"/>
      <c r="I8" s="90"/>
      <c r="J8" s="90"/>
      <c r="K8" s="90"/>
      <c r="L8" s="2"/>
      <c r="M8" s="2"/>
      <c r="N8" s="2"/>
      <c r="O8" s="2"/>
      <c r="P8" s="2"/>
      <c r="Q8" s="2"/>
      <c r="R8" s="2"/>
      <c r="S8" s="2"/>
      <c r="T8" s="2"/>
    </row>
    <row r="9" spans="1:20" ht="15" customHeight="1" x14ac:dyDescent="0.35">
      <c r="A9" s="110" t="s">
        <v>124</v>
      </c>
      <c r="B9" s="111" t="s">
        <v>146</v>
      </c>
      <c r="C9" s="111">
        <v>3839</v>
      </c>
      <c r="D9" s="111">
        <v>4283</v>
      </c>
      <c r="E9" s="111">
        <v>4199</v>
      </c>
      <c r="F9" s="111">
        <v>4004</v>
      </c>
      <c r="G9" s="4"/>
      <c r="H9" s="4"/>
      <c r="I9" s="4"/>
      <c r="J9" s="4"/>
      <c r="K9" s="4"/>
      <c r="L9" s="2"/>
      <c r="M9" s="2"/>
      <c r="N9" s="2"/>
      <c r="O9" s="2"/>
      <c r="P9" s="2"/>
      <c r="Q9" s="2"/>
      <c r="R9" s="2"/>
      <c r="S9" s="2"/>
      <c r="T9" s="2"/>
    </row>
    <row r="10" spans="1:20" ht="15" customHeight="1" x14ac:dyDescent="0.35">
      <c r="A10" s="110" t="s">
        <v>125</v>
      </c>
      <c r="B10" s="111" t="s">
        <v>146</v>
      </c>
      <c r="C10" s="111">
        <v>14948</v>
      </c>
      <c r="D10" s="111">
        <v>16399</v>
      </c>
      <c r="E10" s="111">
        <v>17361</v>
      </c>
      <c r="F10" s="111">
        <v>17652</v>
      </c>
      <c r="G10" s="92"/>
      <c r="H10" s="92"/>
      <c r="I10" s="92"/>
      <c r="J10" s="92"/>
      <c r="K10" s="92"/>
      <c r="L10" s="2"/>
      <c r="M10" s="2"/>
      <c r="N10" s="2"/>
      <c r="O10" s="2"/>
      <c r="P10" s="2"/>
      <c r="Q10" s="2"/>
      <c r="R10" s="2"/>
      <c r="S10" s="2"/>
      <c r="T10" s="2"/>
    </row>
    <row r="11" spans="1:20" ht="15" customHeight="1" outlineLevel="1" x14ac:dyDescent="0.35">
      <c r="A11" s="110" t="s">
        <v>126</v>
      </c>
      <c r="B11" s="111" t="s">
        <v>146</v>
      </c>
      <c r="C11" s="111">
        <v>18787</v>
      </c>
      <c r="D11" s="111">
        <v>20682</v>
      </c>
      <c r="E11" s="111">
        <v>21560</v>
      </c>
      <c r="F11" s="111">
        <v>21656</v>
      </c>
      <c r="G11" s="95"/>
      <c r="H11" s="95"/>
      <c r="I11" s="95"/>
      <c r="J11" s="95"/>
      <c r="K11" s="95"/>
      <c r="L11" s="2"/>
      <c r="M11" s="2"/>
      <c r="N11" s="2"/>
      <c r="O11" s="2"/>
      <c r="P11" s="2"/>
      <c r="Q11" s="2"/>
      <c r="R11" s="2"/>
      <c r="S11" s="2"/>
      <c r="T11" s="2"/>
    </row>
    <row r="12" spans="1:20" ht="15" customHeight="1" outlineLevel="1" x14ac:dyDescent="0.35">
      <c r="A12" s="110" t="s">
        <v>127</v>
      </c>
      <c r="B12" s="111" t="s">
        <v>146</v>
      </c>
      <c r="C12" s="111">
        <v>4832</v>
      </c>
      <c r="D12" s="111">
        <v>5984</v>
      </c>
      <c r="E12" s="111">
        <v>7801</v>
      </c>
      <c r="F12" s="111">
        <v>7929</v>
      </c>
      <c r="G12" s="97"/>
      <c r="H12" s="97"/>
      <c r="I12" s="97"/>
      <c r="J12" s="97"/>
      <c r="K12" s="97"/>
      <c r="L12" s="2"/>
      <c r="M12" s="2"/>
      <c r="N12" s="2"/>
      <c r="O12" s="2"/>
      <c r="P12" s="2"/>
      <c r="Q12" s="2"/>
      <c r="R12" s="2"/>
      <c r="S12" s="2"/>
      <c r="T12" s="2"/>
    </row>
    <row r="13" spans="1:20" ht="15" customHeight="1" outlineLevel="2" x14ac:dyDescent="0.35">
      <c r="A13" s="110" t="s">
        <v>128</v>
      </c>
      <c r="B13" s="111" t="s">
        <v>146</v>
      </c>
      <c r="C13" s="111">
        <v>5541</v>
      </c>
      <c r="D13" s="111">
        <v>5541</v>
      </c>
      <c r="E13" s="111">
        <v>4681</v>
      </c>
      <c r="F13" s="111">
        <v>442</v>
      </c>
      <c r="G13" s="95"/>
      <c r="H13" s="95"/>
      <c r="I13" s="95"/>
      <c r="J13" s="95"/>
      <c r="K13" s="95"/>
      <c r="L13" s="2"/>
      <c r="M13" s="2"/>
      <c r="N13" s="2"/>
      <c r="O13" s="2"/>
      <c r="P13" s="2"/>
      <c r="Q13" s="2"/>
      <c r="R13" s="2"/>
      <c r="S13" s="2"/>
      <c r="T13" s="2"/>
    </row>
    <row r="14" spans="1:20" ht="15" customHeight="1" outlineLevel="2" x14ac:dyDescent="0.35">
      <c r="A14" s="110" t="s">
        <v>129</v>
      </c>
      <c r="B14" s="111" t="s">
        <v>146</v>
      </c>
      <c r="C14" s="111">
        <v>8414</v>
      </c>
      <c r="D14" s="111">
        <v>9157</v>
      </c>
      <c r="E14" s="111">
        <v>9078</v>
      </c>
      <c r="F14" s="111">
        <v>9285</v>
      </c>
      <c r="G14" s="95"/>
      <c r="H14" s="95"/>
      <c r="I14" s="95"/>
      <c r="K14" s="95"/>
      <c r="L14" s="2"/>
      <c r="M14" s="2"/>
      <c r="N14" s="2"/>
      <c r="O14" s="2"/>
      <c r="P14" s="2"/>
      <c r="Q14" s="2"/>
      <c r="R14" s="2"/>
      <c r="S14" s="2"/>
      <c r="T14" s="2"/>
    </row>
    <row r="15" spans="1:20" ht="15" customHeight="1" outlineLevel="2" x14ac:dyDescent="0.35">
      <c r="A15" s="110" t="s">
        <v>130</v>
      </c>
      <c r="B15" s="111">
        <v>9163</v>
      </c>
      <c r="C15" s="111">
        <v>9163</v>
      </c>
      <c r="D15" s="111">
        <v>10139</v>
      </c>
      <c r="E15" s="111">
        <v>8236</v>
      </c>
      <c r="F15" s="111">
        <v>4289</v>
      </c>
      <c r="G15" s="95"/>
      <c r="H15" s="95"/>
      <c r="I15" s="95"/>
      <c r="J15" s="94"/>
      <c r="K15" s="95"/>
      <c r="L15" s="2"/>
      <c r="M15" s="2"/>
      <c r="N15" s="2"/>
      <c r="O15" s="2"/>
      <c r="P15" s="2"/>
      <c r="Q15" s="2"/>
      <c r="R15" s="2"/>
      <c r="S15" s="2"/>
      <c r="T15" s="2"/>
    </row>
    <row r="16" spans="1:20" ht="15" customHeight="1" outlineLevel="2" x14ac:dyDescent="0.35">
      <c r="A16" s="110" t="s">
        <v>131</v>
      </c>
      <c r="B16" s="111">
        <v>675</v>
      </c>
      <c r="C16" s="111">
        <v>675</v>
      </c>
      <c r="D16" s="111">
        <v>895</v>
      </c>
      <c r="E16" s="111">
        <v>1109</v>
      </c>
      <c r="F16" s="111">
        <v>419</v>
      </c>
      <c r="G16" s="92"/>
      <c r="H16" s="92"/>
      <c r="I16" s="92"/>
      <c r="J16" s="92"/>
      <c r="K16" s="92"/>
      <c r="L16" s="2"/>
      <c r="M16" s="2"/>
      <c r="N16" s="2"/>
      <c r="O16" s="2"/>
      <c r="P16" s="2"/>
      <c r="Q16" s="2"/>
      <c r="R16" s="2"/>
      <c r="S16" s="2"/>
      <c r="T16" s="2"/>
    </row>
    <row r="17" spans="1:20" ht="15" customHeight="1" outlineLevel="3" x14ac:dyDescent="0.35">
      <c r="A17" s="110" t="s">
        <v>132</v>
      </c>
      <c r="B17" s="111">
        <v>769</v>
      </c>
      <c r="C17" s="111">
        <v>769</v>
      </c>
      <c r="D17" s="111">
        <v>848</v>
      </c>
      <c r="E17" s="111">
        <v>969</v>
      </c>
      <c r="F17" s="111">
        <v>663</v>
      </c>
      <c r="G17" s="4"/>
      <c r="H17" s="4"/>
      <c r="I17" s="4"/>
      <c r="J17" s="4"/>
      <c r="K17" s="4"/>
      <c r="L17" s="2"/>
      <c r="M17" s="2"/>
      <c r="N17" s="2"/>
      <c r="O17" s="2"/>
      <c r="P17" s="2"/>
      <c r="Q17" s="2"/>
      <c r="R17" s="2"/>
      <c r="S17" s="2"/>
      <c r="T17" s="2"/>
    </row>
    <row r="18" spans="1:20" ht="15" customHeight="1" outlineLevel="3" x14ac:dyDescent="0.35">
      <c r="A18" s="110" t="s">
        <v>133</v>
      </c>
      <c r="B18" s="111">
        <v>3156</v>
      </c>
      <c r="C18" s="111">
        <v>3156</v>
      </c>
      <c r="D18" s="111">
        <v>3639</v>
      </c>
      <c r="E18" s="111">
        <v>2771</v>
      </c>
      <c r="F18" s="111">
        <v>1451</v>
      </c>
      <c r="G18" s="4"/>
      <c r="H18" s="4"/>
      <c r="I18" s="4"/>
      <c r="J18" s="4"/>
      <c r="K18" s="4"/>
      <c r="L18" s="2"/>
      <c r="M18" s="2"/>
      <c r="N18" s="2"/>
      <c r="O18" s="2"/>
      <c r="P18" s="2"/>
      <c r="Q18" s="2"/>
      <c r="R18" s="2"/>
      <c r="S18" s="2"/>
      <c r="T18" s="2"/>
    </row>
    <row r="19" spans="1:20" ht="15" customHeight="1" outlineLevel="2" x14ac:dyDescent="0.35">
      <c r="A19" s="110" t="s">
        <v>134</v>
      </c>
      <c r="B19" s="111">
        <v>2381</v>
      </c>
      <c r="C19" s="111">
        <v>2381</v>
      </c>
      <c r="D19" s="111">
        <v>2628</v>
      </c>
      <c r="E19" s="111">
        <v>2300</v>
      </c>
      <c r="F19" s="111">
        <v>1115</v>
      </c>
      <c r="G19" s="94"/>
      <c r="H19" s="95"/>
      <c r="I19" s="95"/>
      <c r="J19" s="94"/>
      <c r="K19" s="94"/>
      <c r="L19" s="2"/>
      <c r="M19" s="2"/>
      <c r="N19" s="2"/>
      <c r="O19" s="2"/>
      <c r="P19" s="2"/>
      <c r="Q19" s="2"/>
      <c r="R19" s="2"/>
      <c r="S19" s="2"/>
      <c r="T19" s="2"/>
    </row>
    <row r="20" spans="1:20" ht="15" customHeight="1" outlineLevel="2" x14ac:dyDescent="0.35">
      <c r="A20" s="110" t="s">
        <v>135</v>
      </c>
      <c r="B20" s="111">
        <v>6981</v>
      </c>
      <c r="C20" s="111">
        <v>6981</v>
      </c>
      <c r="D20" s="111">
        <v>8010</v>
      </c>
      <c r="E20" s="111">
        <v>7149</v>
      </c>
      <c r="F20" s="111">
        <v>3648</v>
      </c>
      <c r="G20" s="4"/>
      <c r="H20" s="4"/>
      <c r="I20" s="4"/>
      <c r="J20" s="4"/>
      <c r="K20" s="4"/>
      <c r="L20" s="2"/>
      <c r="M20" s="2"/>
      <c r="N20" s="2"/>
      <c r="O20" s="2"/>
      <c r="P20" s="2"/>
      <c r="Q20" s="2"/>
      <c r="R20" s="2"/>
      <c r="S20" s="2"/>
      <c r="T20" s="2"/>
    </row>
    <row r="21" spans="1:20" ht="15" customHeight="1" outlineLevel="2" x14ac:dyDescent="0.35">
      <c r="A21" s="110" t="s">
        <v>136</v>
      </c>
      <c r="B21" s="111">
        <v>2182</v>
      </c>
      <c r="C21" s="111">
        <v>2182</v>
      </c>
      <c r="D21" s="111">
        <v>2129</v>
      </c>
      <c r="E21" s="111">
        <v>1087</v>
      </c>
      <c r="F21" s="111">
        <v>641</v>
      </c>
      <c r="G21" s="4"/>
      <c r="H21" s="4"/>
      <c r="I21" s="4"/>
      <c r="J21" s="4"/>
      <c r="K21" s="4"/>
      <c r="L21" s="2"/>
      <c r="M21" s="2"/>
      <c r="N21" s="2"/>
      <c r="O21" s="2"/>
      <c r="P21" s="2"/>
      <c r="Q21" s="2"/>
      <c r="R21" s="2"/>
      <c r="S21" s="2"/>
      <c r="T21" s="2"/>
    </row>
    <row r="22" spans="1:20" ht="15" customHeight="1" outlineLevel="2" x14ac:dyDescent="0.35">
      <c r="A22" s="110" t="s">
        <v>137</v>
      </c>
      <c r="B22" s="111">
        <v>1957</v>
      </c>
      <c r="C22" s="111">
        <v>1957</v>
      </c>
      <c r="D22" s="111">
        <v>1893</v>
      </c>
      <c r="E22" s="111">
        <v>819</v>
      </c>
      <c r="F22" s="111">
        <v>446</v>
      </c>
      <c r="G22" s="97"/>
      <c r="H22" s="97"/>
      <c r="I22" s="97"/>
      <c r="J22" s="97"/>
      <c r="K22" s="97"/>
      <c r="L22" s="2"/>
      <c r="M22" s="2"/>
      <c r="N22" s="2"/>
      <c r="O22" s="2"/>
      <c r="P22" s="2"/>
      <c r="Q22" s="2"/>
      <c r="R22" s="2"/>
      <c r="S22" s="2"/>
      <c r="T22" s="2"/>
    </row>
    <row r="23" spans="1:20" ht="15" customHeight="1" outlineLevel="3" x14ac:dyDescent="0.35">
      <c r="A23" s="110" t="s">
        <v>138</v>
      </c>
      <c r="B23" s="111">
        <v>-438</v>
      </c>
      <c r="C23" s="111">
        <v>-428</v>
      </c>
      <c r="D23" s="111">
        <v>-552</v>
      </c>
      <c r="E23" s="111">
        <v>-275</v>
      </c>
      <c r="F23" s="111">
        <v>-164</v>
      </c>
      <c r="G23" s="94"/>
      <c r="H23" s="94"/>
      <c r="I23" s="94"/>
      <c r="J23" s="94"/>
      <c r="K23" s="94"/>
      <c r="L23" s="2"/>
      <c r="M23" s="2"/>
      <c r="N23" s="2"/>
      <c r="O23" s="2"/>
      <c r="P23" s="2"/>
      <c r="Q23" s="2"/>
      <c r="R23" s="2"/>
      <c r="S23" s="2"/>
      <c r="T23" s="2"/>
    </row>
    <row r="24" spans="1:20" ht="15" customHeight="1" outlineLevel="3" x14ac:dyDescent="0.35">
      <c r="A24" s="110" t="s">
        <v>139</v>
      </c>
      <c r="B24" s="111">
        <v>1529</v>
      </c>
      <c r="C24" s="111">
        <v>1529</v>
      </c>
      <c r="D24" s="111">
        <v>1341</v>
      </c>
      <c r="E24" s="111">
        <v>544</v>
      </c>
      <c r="F24" s="111">
        <v>282</v>
      </c>
      <c r="G24" s="94"/>
      <c r="H24" s="94"/>
      <c r="I24" s="94"/>
      <c r="J24" s="94"/>
      <c r="K24" s="94"/>
      <c r="L24" s="2"/>
      <c r="M24" s="2"/>
      <c r="N24" s="2"/>
      <c r="O24" s="2"/>
      <c r="P24" s="2"/>
      <c r="Q24" s="2"/>
      <c r="R24" s="2"/>
      <c r="S24" s="2"/>
      <c r="T24" s="2"/>
    </row>
    <row r="25" spans="1:20" ht="15" customHeight="1" outlineLevel="3" x14ac:dyDescent="0.35">
      <c r="A25" s="110" t="s">
        <v>140</v>
      </c>
      <c r="B25" s="111">
        <v>1267</v>
      </c>
      <c r="C25" s="111">
        <v>1267</v>
      </c>
      <c r="D25" s="111">
        <v>1084</v>
      </c>
      <c r="E25" s="111">
        <v>293</v>
      </c>
      <c r="F25" s="111">
        <v>200</v>
      </c>
      <c r="G25" s="95"/>
      <c r="H25" s="95"/>
      <c r="I25" s="95"/>
      <c r="J25" s="95"/>
      <c r="K25" s="95"/>
      <c r="L25" s="2"/>
      <c r="M25" s="2"/>
      <c r="N25" s="2"/>
      <c r="O25" s="2"/>
      <c r="P25" s="2"/>
      <c r="Q25" s="2"/>
      <c r="R25" s="2"/>
      <c r="S25" s="2"/>
      <c r="T25" s="2"/>
    </row>
    <row r="26" spans="1:20" ht="15" customHeight="1" outlineLevel="3" x14ac:dyDescent="0.35">
      <c r="A26" s="110" t="s">
        <v>141</v>
      </c>
      <c r="B26" s="111">
        <v>2765</v>
      </c>
      <c r="C26" s="111">
        <v>2765</v>
      </c>
      <c r="D26" s="111">
        <v>2465</v>
      </c>
      <c r="E26" s="111" t="s">
        <v>146</v>
      </c>
      <c r="F26" s="111" t="s">
        <v>146</v>
      </c>
      <c r="G26" s="95"/>
      <c r="H26" s="95"/>
      <c r="I26" s="94"/>
      <c r="J26" s="95"/>
      <c r="K26" s="95"/>
      <c r="L26" s="2"/>
      <c r="M26" s="2"/>
      <c r="N26" s="2"/>
      <c r="O26" s="2"/>
      <c r="P26" s="2"/>
      <c r="Q26" s="2"/>
      <c r="R26" s="2"/>
      <c r="S26" s="2"/>
      <c r="T26" s="2"/>
    </row>
    <row r="27" spans="1:20" ht="15" customHeight="1" outlineLevel="3" x14ac:dyDescent="0.35">
      <c r="A27" s="110" t="s">
        <v>142</v>
      </c>
      <c r="B27" s="111">
        <v>-1193</v>
      </c>
      <c r="C27" s="111">
        <v>-1537</v>
      </c>
      <c r="D27" s="111">
        <v>-1429</v>
      </c>
      <c r="E27" s="111" t="s">
        <v>146</v>
      </c>
      <c r="F27" s="111" t="s">
        <v>146</v>
      </c>
      <c r="G27" s="92"/>
      <c r="H27" s="92"/>
      <c r="I27" s="92"/>
      <c r="J27" s="92"/>
      <c r="K27" s="92"/>
      <c r="L27" s="2"/>
      <c r="M27" s="2"/>
      <c r="N27" s="2"/>
      <c r="O27" s="2"/>
      <c r="P27" s="2"/>
      <c r="Q27" s="2"/>
      <c r="R27" s="2"/>
      <c r="S27" s="2"/>
      <c r="T27" s="2"/>
    </row>
    <row r="28" spans="1:20" ht="15" customHeight="1" outlineLevel="4" x14ac:dyDescent="0.35">
      <c r="A28" s="110" t="s">
        <v>143</v>
      </c>
      <c r="B28" s="111">
        <v>-1537</v>
      </c>
      <c r="C28" s="111">
        <v>-1537</v>
      </c>
      <c r="D28" s="111">
        <v>-706</v>
      </c>
      <c r="E28" s="111" t="s">
        <v>146</v>
      </c>
      <c r="F28" s="111" t="s">
        <v>146</v>
      </c>
      <c r="G28" s="4"/>
      <c r="H28" s="4"/>
      <c r="I28" s="4"/>
      <c r="J28" s="4"/>
      <c r="K28" s="4"/>
      <c r="L28" s="2"/>
      <c r="M28" s="2"/>
      <c r="N28" s="2"/>
      <c r="O28" s="2"/>
      <c r="P28" s="2"/>
      <c r="Q28" s="2"/>
      <c r="R28" s="2"/>
      <c r="S28" s="2"/>
      <c r="T28" s="2"/>
    </row>
    <row r="29" spans="1:20" ht="15" customHeight="1" outlineLevel="4" x14ac:dyDescent="0.35">
      <c r="A29" s="110" t="s">
        <v>144</v>
      </c>
      <c r="B29" s="111">
        <v>-1297</v>
      </c>
      <c r="C29" s="111">
        <v>-1297</v>
      </c>
      <c r="D29" s="111">
        <v>-1442</v>
      </c>
      <c r="E29" s="111" t="s">
        <v>146</v>
      </c>
      <c r="F29" s="111" t="s">
        <v>146</v>
      </c>
      <c r="G29" s="4"/>
      <c r="H29" s="4"/>
      <c r="I29" s="4"/>
      <c r="J29" s="4"/>
      <c r="K29" s="4"/>
      <c r="L29" s="2"/>
      <c r="M29" s="2"/>
      <c r="N29" s="2"/>
      <c r="O29" s="2"/>
      <c r="P29" s="2"/>
      <c r="Q29" s="2"/>
      <c r="R29" s="2"/>
      <c r="S29" s="2"/>
      <c r="T29" s="2"/>
    </row>
    <row r="30" spans="1:20" ht="15" customHeight="1" x14ac:dyDescent="0.35">
      <c r="A30" s="110" t="s">
        <v>145</v>
      </c>
      <c r="B30" s="111">
        <v>35</v>
      </c>
      <c r="C30" s="111">
        <v>35</v>
      </c>
      <c r="D30" s="110">
        <v>330</v>
      </c>
      <c r="E30" s="111" t="s">
        <v>146</v>
      </c>
      <c r="F30" s="111" t="s">
        <v>146</v>
      </c>
      <c r="G30" s="92"/>
      <c r="H30" s="92"/>
      <c r="I30" s="92"/>
      <c r="J30" s="92"/>
      <c r="K30" s="92"/>
      <c r="L30" s="2"/>
      <c r="M30" s="2"/>
      <c r="N30" s="2"/>
      <c r="O30" s="2"/>
      <c r="P30" s="2"/>
      <c r="Q30" s="2"/>
      <c r="R30" s="2"/>
      <c r="S30" s="2"/>
      <c r="T30" s="2"/>
    </row>
    <row r="31" spans="1:20" ht="15" customHeight="1" outlineLevel="1" x14ac:dyDescent="0.3">
      <c r="A31" s="96"/>
      <c r="B31" s="92"/>
      <c r="C31" s="92"/>
      <c r="D31" s="92"/>
      <c r="E31" s="92"/>
      <c r="F31" s="92"/>
      <c r="G31" s="97"/>
      <c r="H31" s="97"/>
      <c r="I31" s="97"/>
      <c r="J31" s="97"/>
      <c r="K31" s="97"/>
      <c r="L31" s="2"/>
      <c r="M31" s="2"/>
      <c r="N31" s="2"/>
      <c r="O31" s="2"/>
      <c r="P31" s="2"/>
      <c r="Q31" s="2"/>
      <c r="R31" s="2"/>
      <c r="S31" s="2"/>
      <c r="T31" s="2"/>
    </row>
    <row r="32" spans="1:20" ht="15" customHeight="1" outlineLevel="2" x14ac:dyDescent="0.25">
      <c r="A32" s="98"/>
      <c r="B32" s="4"/>
      <c r="C32" s="4"/>
      <c r="D32" s="4"/>
      <c r="E32" s="4"/>
      <c r="F32" s="4"/>
      <c r="G32" s="94"/>
      <c r="H32" s="94"/>
      <c r="I32" s="94"/>
      <c r="J32" s="94"/>
      <c r="K32" s="94"/>
      <c r="L32" s="2"/>
      <c r="M32" s="2"/>
      <c r="N32" s="2"/>
      <c r="O32" s="2"/>
      <c r="P32" s="2"/>
      <c r="Q32" s="2"/>
      <c r="R32" s="2"/>
      <c r="S32" s="2"/>
      <c r="T32" s="2"/>
    </row>
    <row r="33" spans="1:20" ht="15" customHeight="1" outlineLevel="2" x14ac:dyDescent="0.25">
      <c r="A33" s="98"/>
      <c r="B33" s="4"/>
      <c r="C33" s="4"/>
      <c r="D33" s="4"/>
      <c r="E33" s="4"/>
      <c r="F33" s="4"/>
      <c r="G33" s="95"/>
      <c r="H33" s="95"/>
      <c r="I33" s="95"/>
      <c r="J33" s="95"/>
      <c r="K33" s="95"/>
      <c r="L33" s="2"/>
      <c r="M33" s="2"/>
      <c r="N33" s="2"/>
      <c r="O33" s="2"/>
      <c r="P33" s="2"/>
      <c r="Q33" s="2"/>
      <c r="R33" s="2"/>
      <c r="S33" s="2"/>
      <c r="T33" s="2"/>
    </row>
    <row r="34" spans="1:20" ht="15" customHeight="1" outlineLevel="1" x14ac:dyDescent="0.25">
      <c r="A34" s="93"/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2"/>
      <c r="M34" s="2"/>
      <c r="N34" s="2"/>
      <c r="O34" s="2"/>
      <c r="P34" s="2"/>
      <c r="Q34" s="2"/>
      <c r="R34" s="2"/>
      <c r="S34" s="2"/>
      <c r="T34" s="2"/>
    </row>
    <row r="35" spans="1:20" ht="15" customHeight="1" outlineLevel="1" x14ac:dyDescent="0.25">
      <c r="A35" s="93"/>
      <c r="B35" s="95"/>
      <c r="C35" s="95"/>
      <c r="D35" s="95"/>
      <c r="E35" s="95"/>
      <c r="F35" s="95"/>
      <c r="G35" s="95"/>
      <c r="H35" s="95"/>
      <c r="I35" s="95"/>
      <c r="J35" s="95"/>
      <c r="K35" s="95"/>
      <c r="L35" s="2"/>
      <c r="M35" s="2"/>
      <c r="N35" s="2"/>
      <c r="O35" s="2"/>
      <c r="P35" s="2"/>
      <c r="Q35" s="2"/>
      <c r="R35" s="2"/>
      <c r="S35" s="2"/>
      <c r="T35" s="2"/>
    </row>
    <row r="36" spans="1:20" ht="15" customHeight="1" outlineLevel="1" x14ac:dyDescent="0.25">
      <c r="A36" s="93"/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2"/>
      <c r="M36" s="2"/>
      <c r="N36" s="2"/>
      <c r="O36" s="2"/>
      <c r="P36" s="2"/>
      <c r="Q36" s="2"/>
      <c r="R36" s="2"/>
      <c r="S36" s="2"/>
      <c r="T36" s="2"/>
    </row>
    <row r="37" spans="1:20" ht="15" customHeight="1" x14ac:dyDescent="0.3">
      <c r="A37" s="91"/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2"/>
      <c r="M37" s="2"/>
      <c r="N37" s="2"/>
      <c r="O37" s="2"/>
      <c r="P37" s="2"/>
      <c r="Q37" s="2"/>
      <c r="R37" s="2"/>
      <c r="S37" s="2"/>
      <c r="T37" s="2"/>
    </row>
    <row r="38" spans="1:20" ht="15" customHeight="1" outlineLevel="1" x14ac:dyDescent="0.25">
      <c r="A38" s="93"/>
      <c r="B38" s="95"/>
      <c r="C38" s="95"/>
      <c r="D38" s="95"/>
      <c r="E38" s="95"/>
      <c r="F38" s="95"/>
      <c r="G38" s="4"/>
      <c r="H38" s="4"/>
      <c r="I38" s="4"/>
      <c r="J38" s="4"/>
      <c r="K38" s="4"/>
      <c r="L38" s="2"/>
      <c r="M38" s="2"/>
      <c r="N38" s="2"/>
      <c r="O38" s="2"/>
      <c r="P38" s="2"/>
      <c r="Q38" s="2"/>
      <c r="R38" s="2"/>
      <c r="S38" s="2"/>
      <c r="T38" s="2"/>
    </row>
    <row r="39" spans="1:20" ht="15" customHeight="1" outlineLevel="1" x14ac:dyDescent="0.25">
      <c r="A39" s="93"/>
      <c r="B39" s="94"/>
      <c r="C39" s="95"/>
      <c r="D39" s="95"/>
      <c r="E39" s="4"/>
      <c r="F39" s="4"/>
      <c r="G39" s="4"/>
      <c r="H39" s="4"/>
      <c r="I39" s="4"/>
      <c r="J39" s="4"/>
      <c r="K39" s="4"/>
      <c r="L39" s="2"/>
      <c r="M39" s="2"/>
      <c r="N39" s="2"/>
      <c r="O39" s="2"/>
      <c r="P39" s="2"/>
      <c r="Q39" s="2"/>
      <c r="R39" s="2"/>
      <c r="S39" s="2"/>
      <c r="T39" s="2"/>
    </row>
    <row r="40" spans="1:20" ht="15" customHeight="1" outlineLevel="1" x14ac:dyDescent="0.3">
      <c r="A40" s="96"/>
      <c r="B40" s="92"/>
      <c r="C40" s="92"/>
      <c r="D40" s="92"/>
      <c r="E40" s="92"/>
      <c r="F40" s="92"/>
      <c r="G40" s="92"/>
      <c r="H40" s="92"/>
      <c r="I40" s="92"/>
      <c r="J40" s="97"/>
      <c r="K40" s="97"/>
      <c r="L40" s="2"/>
      <c r="M40" s="2"/>
      <c r="N40" s="2"/>
      <c r="O40" s="2"/>
      <c r="P40" s="2"/>
      <c r="Q40" s="2"/>
      <c r="R40" s="2"/>
      <c r="S40" s="2"/>
      <c r="T40" s="2"/>
    </row>
    <row r="41" spans="1:20" ht="15" customHeight="1" outlineLevel="2" x14ac:dyDescent="0.25">
      <c r="A41" s="98"/>
      <c r="B41" s="4"/>
      <c r="C41" s="4"/>
      <c r="D41" s="4"/>
      <c r="E41" s="4"/>
      <c r="F41" s="4"/>
      <c r="G41" s="4"/>
      <c r="H41" s="4"/>
      <c r="I41" s="4"/>
      <c r="J41" s="4"/>
      <c r="K41" s="4"/>
      <c r="L41" s="2"/>
      <c r="M41" s="2"/>
      <c r="N41" s="2"/>
      <c r="O41" s="2"/>
      <c r="P41" s="2"/>
      <c r="Q41" s="2"/>
      <c r="R41" s="2"/>
      <c r="S41" s="2"/>
      <c r="T41" s="2"/>
    </row>
    <row r="42" spans="1:20" ht="15" customHeight="1" outlineLevel="2" x14ac:dyDescent="0.25">
      <c r="A42" s="98"/>
      <c r="B42" s="4"/>
      <c r="C42" s="4"/>
      <c r="D42" s="4"/>
      <c r="E42" s="4"/>
      <c r="F42" s="4"/>
      <c r="G42" s="4"/>
      <c r="H42" s="4"/>
      <c r="I42" s="4"/>
      <c r="J42" s="95"/>
      <c r="K42" s="95"/>
      <c r="L42" s="2"/>
      <c r="M42" s="2"/>
      <c r="N42" s="2"/>
      <c r="O42" s="2"/>
      <c r="P42" s="2"/>
      <c r="Q42" s="2"/>
      <c r="R42" s="2"/>
      <c r="S42" s="2"/>
      <c r="T42" s="2"/>
    </row>
    <row r="43" spans="1:20" ht="15" customHeight="1" outlineLevel="2" x14ac:dyDescent="0.25">
      <c r="A43" s="98"/>
      <c r="B43" s="4"/>
      <c r="C43" s="4"/>
      <c r="D43" s="4"/>
      <c r="E43" s="4"/>
      <c r="F43" s="4"/>
      <c r="G43" s="4"/>
      <c r="H43" s="4"/>
      <c r="I43" s="4"/>
      <c r="J43" s="95"/>
      <c r="K43" s="95"/>
      <c r="L43" s="2"/>
      <c r="M43" s="2"/>
      <c r="N43" s="2"/>
      <c r="O43" s="2"/>
      <c r="P43" s="2"/>
      <c r="Q43" s="2"/>
      <c r="R43" s="2"/>
      <c r="S43" s="2"/>
      <c r="T43" s="2"/>
    </row>
    <row r="44" spans="1:20" ht="15" customHeight="1" outlineLevel="1" x14ac:dyDescent="0.3">
      <c r="A44" s="96"/>
      <c r="B44" s="92"/>
      <c r="C44" s="92"/>
      <c r="D44" s="97"/>
      <c r="E44" s="97"/>
      <c r="F44" s="97"/>
      <c r="G44" s="97"/>
      <c r="H44" s="97"/>
      <c r="I44" s="97"/>
      <c r="J44" s="97"/>
      <c r="K44" s="97"/>
      <c r="L44" s="2"/>
      <c r="M44" s="2"/>
      <c r="N44" s="2"/>
      <c r="O44" s="2"/>
      <c r="P44" s="2"/>
      <c r="Q44" s="2"/>
      <c r="R44" s="2"/>
      <c r="S44" s="2"/>
      <c r="T44" s="2"/>
    </row>
    <row r="45" spans="1:20" ht="15" customHeight="1" outlineLevel="2" x14ac:dyDescent="0.3">
      <c r="A45" s="99"/>
      <c r="B45" s="91"/>
      <c r="C45" s="91"/>
      <c r="D45" s="92"/>
      <c r="E45" s="92"/>
      <c r="F45" s="92"/>
      <c r="G45" s="92"/>
      <c r="H45" s="92"/>
      <c r="I45" s="92"/>
      <c r="J45" s="97"/>
      <c r="K45" s="97"/>
      <c r="L45" s="2"/>
      <c r="M45" s="2"/>
      <c r="N45" s="2"/>
      <c r="O45" s="2"/>
      <c r="P45" s="2"/>
      <c r="Q45" s="2"/>
      <c r="R45" s="2"/>
      <c r="S45" s="2"/>
      <c r="T45" s="2"/>
    </row>
    <row r="46" spans="1:20" ht="15" customHeight="1" outlineLevel="3" x14ac:dyDescent="0.25">
      <c r="A46" s="100"/>
      <c r="B46" s="4"/>
      <c r="C46" s="4"/>
      <c r="D46" s="4"/>
      <c r="E46" s="4"/>
      <c r="F46" s="4"/>
      <c r="G46" s="4"/>
      <c r="H46" s="4"/>
      <c r="I46" s="4"/>
      <c r="J46" s="94"/>
      <c r="K46" s="94"/>
      <c r="L46" s="2"/>
      <c r="M46" s="2"/>
      <c r="N46" s="2"/>
      <c r="O46" s="2"/>
      <c r="P46" s="2"/>
      <c r="Q46" s="2"/>
      <c r="R46" s="2"/>
      <c r="S46" s="2"/>
      <c r="T46" s="2"/>
    </row>
    <row r="47" spans="1:20" ht="15" customHeight="1" outlineLevel="3" x14ac:dyDescent="0.25">
      <c r="A47" s="100"/>
      <c r="B47" s="4"/>
      <c r="C47" s="4"/>
      <c r="D47" s="4"/>
      <c r="E47" s="4"/>
      <c r="F47" s="4"/>
      <c r="G47" s="4"/>
      <c r="H47" s="4"/>
      <c r="I47" s="4"/>
      <c r="J47" s="94"/>
      <c r="K47" s="94"/>
      <c r="L47" s="2"/>
      <c r="M47" s="2"/>
      <c r="N47" s="2"/>
      <c r="O47" s="2"/>
      <c r="P47" s="2"/>
      <c r="Q47" s="2"/>
      <c r="R47" s="2"/>
      <c r="S47" s="2"/>
      <c r="T47" s="2"/>
    </row>
    <row r="48" spans="1:20" ht="15" customHeight="1" outlineLevel="2" x14ac:dyDescent="0.25">
      <c r="A48" s="98"/>
      <c r="B48" s="4"/>
      <c r="C48" s="4"/>
      <c r="D48" s="94"/>
      <c r="E48" s="94"/>
      <c r="F48" s="94"/>
      <c r="G48" s="94"/>
      <c r="H48" s="94"/>
      <c r="I48" s="94"/>
      <c r="J48" s="94"/>
      <c r="K48" s="94"/>
      <c r="L48" s="2"/>
      <c r="M48" s="2"/>
      <c r="N48" s="2"/>
      <c r="O48" s="2"/>
      <c r="P48" s="2"/>
      <c r="Q48" s="2"/>
      <c r="R48" s="2"/>
      <c r="S48" s="2"/>
      <c r="T48" s="2"/>
    </row>
    <row r="49" spans="1:20" ht="15" customHeight="1" outlineLevel="2" x14ac:dyDescent="0.25">
      <c r="A49" s="98"/>
      <c r="B49" s="4"/>
      <c r="C49" s="4"/>
      <c r="D49" s="94"/>
      <c r="E49" s="94"/>
      <c r="F49" s="94"/>
      <c r="G49" s="94"/>
      <c r="H49" s="94"/>
      <c r="I49" s="94"/>
      <c r="J49" s="94"/>
      <c r="K49" s="94"/>
      <c r="L49" s="2"/>
      <c r="M49" s="2"/>
      <c r="N49" s="2"/>
      <c r="O49" s="2"/>
      <c r="P49" s="2"/>
      <c r="Q49" s="2"/>
      <c r="R49" s="2"/>
      <c r="S49" s="2"/>
      <c r="T49" s="2"/>
    </row>
    <row r="50" spans="1:20" ht="15" customHeight="1" x14ac:dyDescent="0.25">
      <c r="A50" s="4"/>
      <c r="B50" s="94"/>
      <c r="C50" s="94"/>
      <c r="D50" s="94"/>
      <c r="E50" s="94"/>
      <c r="F50" s="94"/>
      <c r="G50" s="95"/>
      <c r="H50" s="94"/>
      <c r="I50" s="95"/>
      <c r="J50" s="95"/>
      <c r="K50" s="94"/>
      <c r="L50" s="2"/>
      <c r="M50" s="2"/>
      <c r="N50" s="2"/>
      <c r="O50" s="2"/>
      <c r="P50" s="2"/>
      <c r="Q50" s="2"/>
      <c r="R50" s="2"/>
      <c r="S50" s="2"/>
      <c r="T50" s="2"/>
    </row>
    <row r="51" spans="1:20" ht="15" customHeight="1" x14ac:dyDescent="0.25">
      <c r="A51" s="4"/>
      <c r="B51" s="95"/>
      <c r="C51" s="95"/>
      <c r="D51" s="95"/>
      <c r="E51" s="95"/>
      <c r="F51" s="95"/>
      <c r="G51" s="95"/>
      <c r="H51" s="95"/>
      <c r="I51" s="95"/>
      <c r="J51" s="95"/>
      <c r="K51" s="94"/>
      <c r="L51" s="2"/>
      <c r="M51" s="2"/>
      <c r="N51" s="2"/>
      <c r="O51" s="2"/>
      <c r="P51" s="2"/>
      <c r="Q51" s="2"/>
      <c r="R51" s="2"/>
      <c r="S51" s="2"/>
      <c r="T51" s="2"/>
    </row>
    <row r="52" spans="1:20" ht="15" customHeight="1" x14ac:dyDescent="0.25">
      <c r="A52" s="4"/>
      <c r="B52" s="95"/>
      <c r="C52" s="95"/>
      <c r="D52" s="95"/>
      <c r="E52" s="95"/>
      <c r="F52" s="95"/>
      <c r="G52" s="95"/>
      <c r="H52" s="95"/>
      <c r="I52" s="95"/>
      <c r="J52" s="95"/>
      <c r="K52" s="95"/>
      <c r="L52" s="2"/>
      <c r="M52" s="2"/>
      <c r="N52" s="2"/>
      <c r="O52" s="2"/>
      <c r="P52" s="2"/>
      <c r="Q52" s="2"/>
      <c r="R52" s="2"/>
      <c r="S52" s="2"/>
      <c r="T52" s="2"/>
    </row>
    <row r="53" spans="1:20" ht="15" customHeight="1" x14ac:dyDescent="0.25">
      <c r="A53" s="4"/>
      <c r="B53" s="95"/>
      <c r="C53" s="95"/>
      <c r="D53" s="95"/>
      <c r="E53" s="95"/>
      <c r="F53" s="95"/>
      <c r="G53" s="95"/>
      <c r="H53" s="95"/>
      <c r="I53" s="95"/>
      <c r="J53" s="95"/>
      <c r="K53" s="95"/>
      <c r="L53" s="2"/>
      <c r="M53" s="2"/>
      <c r="N53" s="2"/>
      <c r="O53" s="2"/>
      <c r="P53" s="2"/>
      <c r="Q53" s="2"/>
      <c r="R53" s="2"/>
      <c r="S53" s="2"/>
      <c r="T53" s="2"/>
    </row>
    <row r="54" spans="1:20" ht="15" customHeight="1" x14ac:dyDescent="0.3">
      <c r="A54" s="91"/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2"/>
      <c r="M54" s="2"/>
      <c r="N54" s="2"/>
      <c r="O54" s="2"/>
      <c r="P54" s="2"/>
      <c r="Q54" s="2"/>
      <c r="R54" s="2"/>
      <c r="S54" s="2"/>
      <c r="T54" s="2"/>
    </row>
    <row r="55" spans="1:20" ht="15" customHeight="1" outlineLevel="1" x14ac:dyDescent="0.25">
      <c r="A55" s="93"/>
      <c r="B55" s="94"/>
      <c r="C55" s="94"/>
      <c r="D55" s="94"/>
      <c r="E55" s="94"/>
      <c r="F55" s="94"/>
      <c r="G55" s="94"/>
      <c r="H55" s="94"/>
      <c r="I55" s="94"/>
      <c r="J55" s="94"/>
      <c r="K55" s="94"/>
      <c r="L55" s="2"/>
      <c r="M55" s="2"/>
      <c r="N55" s="2"/>
      <c r="O55" s="2"/>
      <c r="P55" s="2"/>
      <c r="Q55" s="2"/>
      <c r="R55" s="2"/>
      <c r="S55" s="2"/>
      <c r="T55" s="2"/>
    </row>
    <row r="56" spans="1:20" ht="15" customHeight="1" outlineLevel="1" x14ac:dyDescent="0.25">
      <c r="A56" s="93"/>
      <c r="B56" s="4"/>
      <c r="C56" s="4"/>
      <c r="D56" s="4"/>
      <c r="E56" s="4"/>
      <c r="F56" s="4"/>
      <c r="G56" s="4"/>
      <c r="H56" s="4"/>
      <c r="I56" s="94"/>
      <c r="J56" s="94"/>
      <c r="K56" s="94"/>
      <c r="L56" s="2"/>
      <c r="M56" s="2"/>
      <c r="N56" s="2"/>
      <c r="O56" s="2"/>
      <c r="P56" s="2"/>
      <c r="Q56" s="2"/>
      <c r="R56" s="2"/>
      <c r="S56" s="2"/>
      <c r="T56" s="2"/>
    </row>
    <row r="57" spans="1:20" ht="15" customHeight="1" outlineLevel="1" x14ac:dyDescent="0.3">
      <c r="A57" s="96"/>
      <c r="B57" s="91"/>
      <c r="C57" s="91"/>
      <c r="D57" s="91"/>
      <c r="E57" s="92"/>
      <c r="F57" s="92"/>
      <c r="G57" s="92"/>
      <c r="H57" s="92"/>
      <c r="I57" s="97"/>
      <c r="J57" s="97"/>
      <c r="K57" s="97"/>
      <c r="L57" s="2"/>
      <c r="M57" s="2"/>
      <c r="N57" s="2"/>
      <c r="O57" s="2"/>
      <c r="P57" s="2"/>
      <c r="Q57" s="2"/>
      <c r="R57" s="2"/>
      <c r="S57" s="2"/>
      <c r="T57" s="2"/>
    </row>
    <row r="58" spans="1:20" ht="15" customHeight="1" outlineLevel="2" x14ac:dyDescent="0.3">
      <c r="A58" s="99"/>
      <c r="B58" s="91"/>
      <c r="C58" s="91"/>
      <c r="D58" s="91"/>
      <c r="E58" s="91"/>
      <c r="F58" s="91"/>
      <c r="G58" s="91"/>
      <c r="H58" s="91"/>
      <c r="I58" s="97"/>
      <c r="J58" s="92"/>
      <c r="K58" s="92"/>
      <c r="L58" s="2"/>
      <c r="M58" s="2"/>
      <c r="N58" s="2"/>
      <c r="O58" s="2"/>
      <c r="P58" s="2"/>
      <c r="Q58" s="2"/>
      <c r="R58" s="2"/>
      <c r="S58" s="2"/>
      <c r="T58" s="2"/>
    </row>
    <row r="59" spans="1:20" ht="15" customHeight="1" outlineLevel="3" x14ac:dyDescent="0.25">
      <c r="A59" s="100"/>
      <c r="B59" s="4"/>
      <c r="C59" s="4"/>
      <c r="D59" s="4"/>
      <c r="E59" s="4"/>
      <c r="F59" s="4"/>
      <c r="G59" s="4"/>
      <c r="H59" s="4"/>
      <c r="I59" s="95"/>
      <c r="J59" s="4"/>
      <c r="K59" s="4"/>
      <c r="L59" s="2"/>
      <c r="M59" s="2"/>
      <c r="N59" s="2"/>
      <c r="O59" s="2"/>
      <c r="P59" s="2"/>
      <c r="Q59" s="2"/>
      <c r="R59" s="2"/>
      <c r="S59" s="2"/>
      <c r="T59" s="2"/>
    </row>
    <row r="60" spans="1:20" ht="15" customHeight="1" outlineLevel="3" x14ac:dyDescent="0.25">
      <c r="A60" s="100"/>
      <c r="B60" s="4"/>
      <c r="C60" s="4"/>
      <c r="D60" s="4"/>
      <c r="E60" s="4"/>
      <c r="F60" s="4"/>
      <c r="G60" s="4"/>
      <c r="H60" s="4"/>
      <c r="I60" s="94"/>
      <c r="J60" s="4"/>
      <c r="K60" s="4"/>
      <c r="L60" s="2"/>
      <c r="M60" s="2"/>
      <c r="N60" s="2"/>
      <c r="O60" s="2"/>
      <c r="P60" s="2"/>
      <c r="Q60" s="2"/>
      <c r="R60" s="2"/>
      <c r="S60" s="2"/>
      <c r="T60" s="2"/>
    </row>
    <row r="61" spans="1:20" ht="15" customHeight="1" outlineLevel="2" x14ac:dyDescent="0.25">
      <c r="A61" s="98"/>
      <c r="B61" s="4"/>
      <c r="C61" s="4"/>
      <c r="D61" s="4"/>
      <c r="E61" s="4"/>
      <c r="F61" s="4"/>
      <c r="G61" s="4"/>
      <c r="H61" s="4"/>
      <c r="I61" s="94"/>
      <c r="J61" s="94"/>
      <c r="K61" s="94"/>
      <c r="L61" s="2"/>
      <c r="M61" s="2"/>
      <c r="N61" s="2"/>
      <c r="O61" s="2"/>
      <c r="P61" s="2"/>
      <c r="Q61" s="2"/>
      <c r="R61" s="2"/>
      <c r="S61" s="2"/>
      <c r="T61" s="2"/>
    </row>
    <row r="62" spans="1:20" ht="15" customHeight="1" outlineLevel="1" x14ac:dyDescent="0.25">
      <c r="A62" s="93"/>
      <c r="B62" s="94"/>
      <c r="C62" s="94"/>
      <c r="D62" s="94"/>
      <c r="E62" s="94"/>
      <c r="F62" s="94"/>
      <c r="G62" s="94"/>
      <c r="H62" s="94"/>
      <c r="I62" s="94"/>
      <c r="J62" s="94"/>
      <c r="K62" s="94"/>
      <c r="L62" s="2"/>
      <c r="M62" s="2"/>
      <c r="N62" s="2"/>
      <c r="O62" s="2"/>
      <c r="P62" s="2"/>
      <c r="Q62" s="2"/>
      <c r="R62" s="2"/>
      <c r="S62" s="2"/>
      <c r="T62" s="2"/>
    </row>
    <row r="63" spans="1:20" ht="15" customHeight="1" outlineLevel="1" x14ac:dyDescent="0.25">
      <c r="A63" s="93"/>
      <c r="B63" s="4"/>
      <c r="C63" s="4"/>
      <c r="D63" s="4"/>
      <c r="E63" s="4"/>
      <c r="F63" s="4"/>
      <c r="G63" s="4"/>
      <c r="H63" s="4"/>
      <c r="I63" s="94"/>
      <c r="J63" s="94"/>
      <c r="K63" s="94"/>
      <c r="L63" s="2"/>
      <c r="M63" s="2"/>
      <c r="N63" s="2"/>
      <c r="O63" s="2"/>
      <c r="P63" s="2"/>
      <c r="Q63" s="2"/>
      <c r="R63" s="2"/>
      <c r="S63" s="2"/>
      <c r="T63" s="2"/>
    </row>
    <row r="64" spans="1:20" ht="15" customHeight="1" outlineLevel="1" x14ac:dyDescent="0.3">
      <c r="A64" s="96"/>
      <c r="B64" s="92"/>
      <c r="C64" s="92"/>
      <c r="D64" s="92"/>
      <c r="E64" s="92"/>
      <c r="F64" s="92"/>
      <c r="G64" s="92"/>
      <c r="H64" s="92"/>
      <c r="I64" s="97"/>
      <c r="J64" s="92"/>
      <c r="K64" s="92"/>
      <c r="L64" s="2"/>
      <c r="M64" s="2"/>
      <c r="N64" s="2"/>
      <c r="O64" s="2"/>
      <c r="P64" s="2"/>
      <c r="Q64" s="2"/>
      <c r="R64" s="2"/>
      <c r="S64" s="2"/>
      <c r="T64" s="2"/>
    </row>
    <row r="65" spans="1:20" ht="15" customHeight="1" outlineLevel="2" x14ac:dyDescent="0.25">
      <c r="A65" s="98"/>
      <c r="B65" s="4"/>
      <c r="C65" s="4"/>
      <c r="D65" s="4"/>
      <c r="E65" s="4"/>
      <c r="F65" s="4"/>
      <c r="G65" s="4"/>
      <c r="H65" s="4"/>
      <c r="I65" s="95"/>
      <c r="J65" s="4"/>
      <c r="K65" s="4"/>
      <c r="L65" s="2"/>
      <c r="M65" s="2"/>
      <c r="N65" s="2"/>
      <c r="O65" s="2"/>
      <c r="P65" s="2"/>
      <c r="Q65" s="2"/>
      <c r="R65" s="2"/>
      <c r="S65" s="2"/>
      <c r="T65" s="2"/>
    </row>
    <row r="66" spans="1:20" ht="15" customHeight="1" outlineLevel="2" x14ac:dyDescent="0.25">
      <c r="A66" s="98"/>
      <c r="B66" s="4"/>
      <c r="C66" s="4"/>
      <c r="D66" s="4"/>
      <c r="E66" s="4"/>
      <c r="F66" s="4"/>
      <c r="G66" s="4"/>
      <c r="H66" s="4"/>
      <c r="I66" s="94"/>
      <c r="J66" s="4"/>
      <c r="K66" s="4"/>
      <c r="L66" s="2"/>
      <c r="M66" s="2"/>
      <c r="N66" s="2"/>
      <c r="O66" s="2"/>
      <c r="P66" s="2"/>
      <c r="Q66" s="2"/>
      <c r="R66" s="2"/>
      <c r="S66" s="2"/>
      <c r="T66" s="2"/>
    </row>
    <row r="67" spans="1:20" ht="15" customHeight="1" outlineLevel="1" x14ac:dyDescent="0.25">
      <c r="A67" s="93"/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2"/>
      <c r="M67" s="2"/>
      <c r="N67" s="2"/>
      <c r="O67" s="2"/>
      <c r="P67" s="2"/>
      <c r="Q67" s="2"/>
      <c r="R67" s="2"/>
      <c r="S67" s="2"/>
      <c r="T67" s="2"/>
    </row>
    <row r="68" spans="1:20" ht="15" customHeight="1" outlineLevel="1" x14ac:dyDescent="0.25">
      <c r="A68" s="93"/>
      <c r="B68" s="4"/>
      <c r="C68" s="4"/>
      <c r="D68" s="4"/>
      <c r="E68" s="4"/>
      <c r="F68" s="4"/>
      <c r="G68" s="4"/>
      <c r="H68" s="4"/>
      <c r="I68" s="4"/>
      <c r="J68" s="4"/>
      <c r="K68" s="4"/>
      <c r="L68" s="2"/>
      <c r="M68" s="2"/>
      <c r="N68" s="2"/>
      <c r="O68" s="2"/>
      <c r="P68" s="2"/>
      <c r="Q68" s="2"/>
      <c r="R68" s="2"/>
      <c r="S68" s="2"/>
      <c r="T68" s="2"/>
    </row>
    <row r="69" spans="1:20" ht="1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2"/>
      <c r="M69" s="2"/>
      <c r="N69" s="2"/>
      <c r="O69" s="2"/>
      <c r="P69" s="2"/>
      <c r="Q69" s="2"/>
      <c r="R69" s="2"/>
      <c r="S69" s="2"/>
      <c r="T69" s="2"/>
    </row>
    <row r="70" spans="1:20" ht="15" customHeight="1" x14ac:dyDescent="0.3">
      <c r="A70" s="91"/>
      <c r="B70" s="103"/>
      <c r="C70" s="103"/>
      <c r="D70" s="103"/>
      <c r="E70" s="103"/>
      <c r="F70" s="103"/>
      <c r="G70" s="103"/>
      <c r="H70" s="103"/>
      <c r="I70" s="103"/>
      <c r="J70" s="103"/>
      <c r="K70" s="103"/>
      <c r="L70" s="2"/>
      <c r="M70" s="2"/>
      <c r="N70" s="2"/>
      <c r="O70" s="2"/>
      <c r="P70" s="2"/>
      <c r="Q70" s="2"/>
      <c r="R70" s="2"/>
      <c r="S70" s="2"/>
      <c r="T70" s="2"/>
    </row>
    <row r="71" spans="1:20" ht="15" customHeight="1" outlineLevel="1" x14ac:dyDescent="0.25">
      <c r="A71" s="93"/>
      <c r="B71" s="104"/>
      <c r="C71" s="4"/>
      <c r="D71" s="104"/>
      <c r="E71" s="4"/>
      <c r="F71" s="105"/>
      <c r="G71" s="105"/>
      <c r="H71" s="105"/>
      <c r="I71" s="105"/>
      <c r="J71" s="105"/>
      <c r="K71" s="105"/>
      <c r="L71" s="2"/>
      <c r="M71" s="2"/>
      <c r="N71" s="2"/>
      <c r="O71" s="2"/>
      <c r="P71" s="2"/>
      <c r="Q71" s="2"/>
      <c r="R71" s="2"/>
      <c r="S71" s="2"/>
      <c r="T71" s="2"/>
    </row>
    <row r="72" spans="1:20" ht="15" customHeight="1" outlineLevel="1" x14ac:dyDescent="0.3">
      <c r="A72" s="96"/>
      <c r="B72" s="103"/>
      <c r="C72" s="103"/>
      <c r="D72" s="103"/>
      <c r="E72" s="103"/>
      <c r="F72" s="103"/>
      <c r="G72" s="103"/>
      <c r="H72" s="103"/>
      <c r="I72" s="103"/>
      <c r="J72" s="103"/>
      <c r="K72" s="103"/>
      <c r="L72" s="2"/>
      <c r="M72" s="2"/>
      <c r="N72" s="2"/>
      <c r="O72" s="2"/>
      <c r="P72" s="2"/>
      <c r="Q72" s="2"/>
      <c r="R72" s="2"/>
      <c r="S72" s="2"/>
      <c r="T72" s="2"/>
    </row>
    <row r="73" spans="1:20" ht="15" customHeight="1" outlineLevel="2" x14ac:dyDescent="0.25">
      <c r="A73" s="98"/>
      <c r="B73" s="105"/>
      <c r="C73" s="105"/>
      <c r="D73" s="105"/>
      <c r="E73" s="105"/>
      <c r="F73" s="105"/>
      <c r="G73" s="105"/>
      <c r="H73" s="105"/>
      <c r="I73" s="105"/>
      <c r="J73" s="105"/>
      <c r="K73" s="105"/>
      <c r="L73" s="2"/>
      <c r="M73" s="2"/>
      <c r="N73" s="2"/>
      <c r="O73" s="2"/>
      <c r="P73" s="2"/>
      <c r="Q73" s="2"/>
      <c r="R73" s="2"/>
      <c r="S73" s="2"/>
      <c r="T73" s="2"/>
    </row>
    <row r="74" spans="1:20" ht="15" customHeight="1" outlineLevel="2" x14ac:dyDescent="0.25">
      <c r="A74" s="98"/>
      <c r="B74" s="105"/>
      <c r="C74" s="105"/>
      <c r="D74" s="105"/>
      <c r="E74" s="105"/>
      <c r="F74" s="105"/>
      <c r="G74" s="105"/>
      <c r="H74" s="105"/>
      <c r="I74" s="105"/>
      <c r="J74" s="105"/>
      <c r="K74" s="105"/>
      <c r="L74" s="2"/>
      <c r="M74" s="2"/>
      <c r="N74" s="2"/>
      <c r="O74" s="2"/>
      <c r="P74" s="2"/>
      <c r="Q74" s="2"/>
      <c r="R74" s="2"/>
      <c r="S74" s="2"/>
      <c r="T74" s="2"/>
    </row>
    <row r="75" spans="1:20" ht="15" customHeight="1" outlineLevel="2" x14ac:dyDescent="0.25">
      <c r="A75" s="98"/>
      <c r="B75" s="105"/>
      <c r="C75" s="104"/>
      <c r="D75" s="105"/>
      <c r="E75" s="105"/>
      <c r="F75" s="105"/>
      <c r="G75" s="105"/>
      <c r="H75" s="105"/>
      <c r="I75" s="104"/>
      <c r="J75" s="104"/>
      <c r="K75" s="4"/>
      <c r="L75" s="2"/>
      <c r="M75" s="2"/>
      <c r="N75" s="2"/>
      <c r="O75" s="2"/>
      <c r="P75" s="2"/>
      <c r="Q75" s="2"/>
      <c r="R75" s="2"/>
      <c r="S75" s="2"/>
      <c r="T75" s="2"/>
    </row>
    <row r="76" spans="1:20" ht="15" customHeight="1" outlineLevel="2" x14ac:dyDescent="0.3">
      <c r="A76" s="99"/>
      <c r="B76" s="91"/>
      <c r="C76" s="103"/>
      <c r="D76" s="103"/>
      <c r="E76" s="103"/>
      <c r="F76" s="103"/>
      <c r="G76" s="103"/>
      <c r="H76" s="91"/>
      <c r="I76" s="103"/>
      <c r="J76" s="103"/>
      <c r="K76" s="103"/>
      <c r="L76" s="2"/>
      <c r="M76" s="2"/>
      <c r="N76" s="2"/>
      <c r="O76" s="2"/>
      <c r="P76" s="2"/>
      <c r="Q76" s="2"/>
      <c r="R76" s="2"/>
      <c r="S76" s="2"/>
      <c r="T76" s="2"/>
    </row>
    <row r="77" spans="1:20" ht="15" customHeight="1" outlineLevel="3" x14ac:dyDescent="0.25">
      <c r="A77" s="100"/>
      <c r="B77" s="104"/>
      <c r="C77" s="4"/>
      <c r="D77" s="104"/>
      <c r="E77" s="4"/>
      <c r="F77" s="4"/>
      <c r="G77" s="4"/>
      <c r="H77" s="4"/>
      <c r="I77" s="4"/>
      <c r="J77" s="4"/>
      <c r="K77" s="4"/>
      <c r="L77" s="2"/>
      <c r="M77" s="2"/>
      <c r="N77" s="2"/>
      <c r="O77" s="2"/>
      <c r="P77" s="2"/>
      <c r="Q77" s="2"/>
      <c r="R77" s="2"/>
      <c r="S77" s="2"/>
      <c r="T77" s="2"/>
    </row>
    <row r="78" spans="1:20" ht="15" customHeight="1" outlineLevel="3" x14ac:dyDescent="0.25">
      <c r="A78" s="100"/>
      <c r="B78" s="4"/>
      <c r="C78" s="104"/>
      <c r="D78" s="104"/>
      <c r="E78" s="105"/>
      <c r="F78" s="4"/>
      <c r="G78" s="4"/>
      <c r="H78" s="4"/>
      <c r="I78" s="4"/>
      <c r="J78" s="4"/>
      <c r="K78" s="4"/>
      <c r="L78" s="2"/>
      <c r="M78" s="2"/>
      <c r="N78" s="2"/>
      <c r="O78" s="2"/>
      <c r="P78" s="2"/>
      <c r="Q78" s="2"/>
      <c r="R78" s="2"/>
      <c r="S78" s="2"/>
      <c r="T78" s="2"/>
    </row>
    <row r="79" spans="1:20" ht="15" customHeight="1" outlineLevel="2" x14ac:dyDescent="0.25">
      <c r="A79" s="98"/>
      <c r="B79" s="104"/>
      <c r="C79" s="105"/>
      <c r="D79" s="104"/>
      <c r="E79" s="4"/>
      <c r="F79" s="104"/>
      <c r="G79" s="105"/>
      <c r="H79" s="4"/>
      <c r="I79" s="105"/>
      <c r="J79" s="104"/>
      <c r="K79" s="105"/>
      <c r="L79" s="2"/>
      <c r="M79" s="2"/>
      <c r="N79" s="2"/>
      <c r="O79" s="2"/>
      <c r="P79" s="2"/>
      <c r="Q79" s="2"/>
      <c r="R79" s="2"/>
      <c r="S79" s="2"/>
      <c r="T79" s="2"/>
    </row>
    <row r="80" spans="1:20" ht="15" customHeight="1" outlineLevel="2" x14ac:dyDescent="0.25">
      <c r="A80" s="98"/>
      <c r="B80" s="104"/>
      <c r="C80" s="105"/>
      <c r="D80" s="105"/>
      <c r="E80" s="104"/>
      <c r="F80" s="104"/>
      <c r="G80" s="4"/>
      <c r="H80" s="4"/>
      <c r="I80" s="4"/>
      <c r="J80" s="4"/>
      <c r="K80" s="4"/>
      <c r="L80" s="2"/>
      <c r="M80" s="2"/>
      <c r="N80" s="2"/>
      <c r="O80" s="2"/>
      <c r="P80" s="2"/>
      <c r="Q80" s="2"/>
      <c r="R80" s="2"/>
      <c r="S80" s="2"/>
      <c r="T80" s="2"/>
    </row>
    <row r="81" spans="1:20" ht="15" customHeight="1" outlineLevel="2" x14ac:dyDescent="0.25">
      <c r="A81" s="98"/>
      <c r="B81" s="4"/>
      <c r="C81" s="4"/>
      <c r="D81" s="4"/>
      <c r="E81" s="4"/>
      <c r="F81" s="4"/>
      <c r="G81" s="4"/>
      <c r="H81" s="4"/>
      <c r="I81" s="4"/>
      <c r="J81" s="4"/>
      <c r="K81" s="4"/>
      <c r="L81" s="2"/>
      <c r="M81" s="2"/>
      <c r="N81" s="2"/>
      <c r="O81" s="2"/>
      <c r="P81" s="2"/>
      <c r="Q81" s="2"/>
      <c r="R81" s="2"/>
      <c r="S81" s="2"/>
      <c r="T81" s="2"/>
    </row>
    <row r="82" spans="1:20" ht="15" customHeight="1" outlineLevel="2" x14ac:dyDescent="0.3">
      <c r="A82" s="99"/>
      <c r="B82" s="103"/>
      <c r="C82" s="103"/>
      <c r="D82" s="103"/>
      <c r="E82" s="103"/>
      <c r="F82" s="103"/>
      <c r="G82" s="103"/>
      <c r="H82" s="103"/>
      <c r="I82" s="103"/>
      <c r="J82" s="91"/>
      <c r="K82" s="103"/>
      <c r="L82" s="2"/>
      <c r="M82" s="2"/>
      <c r="N82" s="2"/>
      <c r="O82" s="2"/>
      <c r="P82" s="2"/>
      <c r="Q82" s="2"/>
      <c r="R82" s="2"/>
      <c r="S82" s="2"/>
      <c r="T82" s="2"/>
    </row>
    <row r="83" spans="1:20" ht="15" customHeight="1" outlineLevel="3" x14ac:dyDescent="0.25">
      <c r="A83" s="100"/>
      <c r="B83" s="105"/>
      <c r="C83" s="104"/>
      <c r="D83" s="105"/>
      <c r="E83" s="104"/>
      <c r="F83" s="105"/>
      <c r="G83" s="104"/>
      <c r="H83" s="105"/>
      <c r="I83" s="104"/>
      <c r="J83" s="105"/>
      <c r="K83" s="104"/>
      <c r="L83" s="2"/>
      <c r="M83" s="2"/>
      <c r="N83" s="2"/>
      <c r="O83" s="2"/>
      <c r="P83" s="2"/>
      <c r="Q83" s="2"/>
      <c r="R83" s="2"/>
      <c r="S83" s="2"/>
      <c r="T83" s="2"/>
    </row>
    <row r="84" spans="1:20" ht="15" customHeight="1" outlineLevel="3" x14ac:dyDescent="0.25">
      <c r="A84" s="100"/>
      <c r="B84" s="105"/>
      <c r="C84" s="105"/>
      <c r="D84" s="104"/>
      <c r="E84" s="104"/>
      <c r="F84" s="104"/>
      <c r="G84" s="104"/>
      <c r="H84" s="105"/>
      <c r="I84" s="104"/>
      <c r="J84" s="104"/>
      <c r="K84" s="104"/>
      <c r="L84" s="2"/>
      <c r="M84" s="2"/>
      <c r="N84" s="2"/>
      <c r="O84" s="2"/>
      <c r="P84" s="2"/>
      <c r="Q84" s="2"/>
      <c r="R84" s="2"/>
      <c r="S84" s="2"/>
      <c r="T84" s="2"/>
    </row>
    <row r="85" spans="1:20" ht="15" customHeight="1" outlineLevel="3" x14ac:dyDescent="0.25">
      <c r="A85" s="100"/>
      <c r="B85" s="104"/>
      <c r="C85" s="104"/>
      <c r="D85" s="104"/>
      <c r="E85" s="105"/>
      <c r="F85" s="105"/>
      <c r="G85" s="105"/>
      <c r="H85" s="104"/>
      <c r="I85" s="105"/>
      <c r="J85" s="105"/>
      <c r="K85" s="104"/>
      <c r="L85" s="2"/>
      <c r="M85" s="2"/>
      <c r="N85" s="2"/>
      <c r="O85" s="2"/>
      <c r="P85" s="2"/>
      <c r="Q85" s="2"/>
      <c r="R85" s="2"/>
      <c r="S85" s="2"/>
      <c r="T85" s="2"/>
    </row>
    <row r="86" spans="1:20" ht="15" customHeight="1" outlineLevel="3" x14ac:dyDescent="0.25">
      <c r="A86" s="100"/>
      <c r="B86" s="104"/>
      <c r="C86" s="104"/>
      <c r="D86" s="104"/>
      <c r="E86" s="105"/>
      <c r="F86" s="105"/>
      <c r="G86" s="104"/>
      <c r="H86" s="105"/>
      <c r="I86" s="104"/>
      <c r="J86" s="4"/>
      <c r="K86" s="104"/>
      <c r="L86" s="2"/>
      <c r="M86" s="2"/>
      <c r="N86" s="2"/>
      <c r="O86" s="2"/>
      <c r="P86" s="2"/>
      <c r="Q86" s="2"/>
      <c r="R86" s="2"/>
      <c r="S86" s="2"/>
      <c r="T86" s="2"/>
    </row>
    <row r="87" spans="1:20" ht="15" customHeight="1" outlineLevel="3" x14ac:dyDescent="0.3">
      <c r="A87" s="101"/>
      <c r="B87" s="103"/>
      <c r="C87" s="103"/>
      <c r="D87" s="103"/>
      <c r="E87" s="103"/>
      <c r="F87" s="103"/>
      <c r="G87" s="103"/>
      <c r="H87" s="103"/>
      <c r="I87" s="103"/>
      <c r="J87" s="103"/>
      <c r="K87" s="103"/>
      <c r="L87" s="2"/>
      <c r="M87" s="2"/>
      <c r="N87" s="2"/>
      <c r="O87" s="2"/>
      <c r="P87" s="2"/>
      <c r="Q87" s="2"/>
      <c r="R87" s="2"/>
      <c r="S87" s="2"/>
      <c r="T87" s="2"/>
    </row>
    <row r="88" spans="1:20" ht="15" customHeight="1" outlineLevel="4" x14ac:dyDescent="0.25">
      <c r="A88" s="102"/>
      <c r="B88" s="105"/>
      <c r="C88" s="105"/>
      <c r="D88" s="105"/>
      <c r="E88" s="105"/>
      <c r="F88" s="105"/>
      <c r="G88" s="4"/>
      <c r="H88" s="4"/>
      <c r="I88" s="4"/>
      <c r="J88" s="4"/>
      <c r="K88" s="4"/>
      <c r="L88" s="2"/>
      <c r="M88" s="2"/>
      <c r="N88" s="2"/>
      <c r="O88" s="2"/>
      <c r="P88" s="2"/>
      <c r="Q88" s="2"/>
      <c r="R88" s="2"/>
      <c r="S88" s="2"/>
      <c r="T88" s="2"/>
    </row>
    <row r="89" spans="1:20" ht="15" customHeight="1" outlineLevel="4" x14ac:dyDescent="0.25">
      <c r="A89" s="102"/>
      <c r="B89" s="104"/>
      <c r="C89" s="104"/>
      <c r="D89" s="104"/>
      <c r="E89" s="104"/>
      <c r="F89" s="104"/>
      <c r="G89" s="4"/>
      <c r="H89" s="4"/>
      <c r="I89" s="4"/>
      <c r="J89" s="4"/>
      <c r="K89" s="4"/>
      <c r="L89" s="2"/>
      <c r="M89" s="2"/>
      <c r="N89" s="2"/>
      <c r="O89" s="2"/>
      <c r="P89" s="2"/>
      <c r="Q89" s="2"/>
      <c r="R89" s="2"/>
      <c r="S89" s="2"/>
      <c r="T89" s="2"/>
    </row>
    <row r="90" spans="1:20" ht="15" customHeight="1" x14ac:dyDescent="0.3">
      <c r="A90" s="91"/>
      <c r="B90" s="103"/>
      <c r="C90" s="103"/>
      <c r="D90" s="103"/>
      <c r="E90" s="103"/>
      <c r="F90" s="103"/>
      <c r="G90" s="103"/>
      <c r="H90" s="103"/>
      <c r="I90" s="103"/>
      <c r="J90" s="103"/>
      <c r="K90" s="103"/>
      <c r="L90" s="2"/>
      <c r="M90" s="2"/>
      <c r="N90" s="2"/>
      <c r="O90" s="2"/>
      <c r="P90" s="2"/>
      <c r="Q90" s="2"/>
      <c r="R90" s="2"/>
      <c r="S90" s="2"/>
      <c r="T90" s="2"/>
    </row>
    <row r="91" spans="1:20" ht="15" customHeight="1" outlineLevel="1" x14ac:dyDescent="0.3">
      <c r="A91" s="96"/>
      <c r="B91" s="103"/>
      <c r="C91" s="103"/>
      <c r="D91" s="103"/>
      <c r="E91" s="103"/>
      <c r="F91" s="103"/>
      <c r="G91" s="103"/>
      <c r="H91" s="103"/>
      <c r="I91" s="103"/>
      <c r="J91" s="103"/>
      <c r="K91" s="103"/>
      <c r="L91" s="2"/>
      <c r="M91" s="2"/>
      <c r="N91" s="2"/>
      <c r="O91" s="2"/>
      <c r="P91" s="2"/>
      <c r="Q91" s="2"/>
      <c r="R91" s="2"/>
      <c r="S91" s="2"/>
      <c r="T91" s="2"/>
    </row>
    <row r="92" spans="1:20" ht="15" customHeight="1" outlineLevel="2" x14ac:dyDescent="0.25">
      <c r="A92" s="98"/>
      <c r="B92" s="4"/>
      <c r="C92" s="4"/>
      <c r="D92" s="4"/>
      <c r="E92" s="4"/>
      <c r="F92" s="4"/>
      <c r="G92" s="4"/>
      <c r="H92" s="104"/>
      <c r="I92" s="104"/>
      <c r="J92" s="104"/>
      <c r="K92" s="104"/>
      <c r="L92" s="2"/>
      <c r="M92" s="2"/>
      <c r="N92" s="2"/>
      <c r="O92" s="2"/>
      <c r="P92" s="2"/>
      <c r="Q92" s="2"/>
      <c r="R92" s="2"/>
      <c r="S92" s="2"/>
      <c r="T92" s="2"/>
    </row>
    <row r="93" spans="1:20" ht="15" customHeight="1" outlineLevel="2" x14ac:dyDescent="0.25">
      <c r="A93" s="98"/>
      <c r="B93" s="4"/>
      <c r="C93" s="4"/>
      <c r="D93" s="4"/>
      <c r="E93" s="4"/>
      <c r="F93" s="4"/>
      <c r="G93" s="4"/>
      <c r="H93" s="105"/>
      <c r="I93" s="105"/>
      <c r="J93" s="105"/>
      <c r="K93" s="105"/>
      <c r="L93" s="2"/>
      <c r="M93" s="2"/>
      <c r="N93" s="2"/>
      <c r="O93" s="2"/>
      <c r="P93" s="2"/>
      <c r="Q93" s="2"/>
      <c r="R93" s="2"/>
      <c r="S93" s="2"/>
      <c r="T93" s="2"/>
    </row>
    <row r="94" spans="1:20" ht="15" customHeight="1" outlineLevel="1" x14ac:dyDescent="0.25">
      <c r="A94" s="93"/>
      <c r="B94" s="104"/>
      <c r="C94" s="105"/>
      <c r="D94" s="104"/>
      <c r="E94" s="105"/>
      <c r="F94" s="105"/>
      <c r="G94" s="104"/>
      <c r="H94" s="105"/>
      <c r="I94" s="104"/>
      <c r="J94" s="105"/>
      <c r="K94" s="105"/>
      <c r="L94" s="2"/>
      <c r="M94" s="2"/>
      <c r="N94" s="2"/>
      <c r="O94" s="2"/>
      <c r="P94" s="2"/>
      <c r="Q94" s="2"/>
      <c r="R94" s="2"/>
      <c r="S94" s="2"/>
      <c r="T94" s="2"/>
    </row>
    <row r="95" spans="1:20" ht="15" customHeight="1" outlineLevel="1" x14ac:dyDescent="0.25">
      <c r="A95" s="93"/>
      <c r="B95" s="104"/>
      <c r="C95" s="104"/>
      <c r="D95" s="105"/>
      <c r="E95" s="104"/>
      <c r="F95" s="105"/>
      <c r="G95" s="105"/>
      <c r="H95" s="104"/>
      <c r="I95" s="105"/>
      <c r="J95" s="105"/>
      <c r="K95" s="105"/>
      <c r="L95" s="2"/>
      <c r="M95" s="2"/>
      <c r="N95" s="2"/>
      <c r="O95" s="2"/>
      <c r="P95" s="2"/>
      <c r="Q95" s="2"/>
      <c r="R95" s="2"/>
      <c r="S95" s="2"/>
      <c r="T95" s="2"/>
    </row>
    <row r="96" spans="1:20" ht="15" customHeight="1" outlineLevel="1" x14ac:dyDescent="0.25">
      <c r="A96" s="93"/>
      <c r="B96" s="105"/>
      <c r="C96" s="105"/>
      <c r="D96" s="105"/>
      <c r="E96" s="104"/>
      <c r="F96" s="104"/>
      <c r="G96" s="104"/>
      <c r="H96" s="105"/>
      <c r="I96" s="104"/>
      <c r="J96" s="104"/>
      <c r="K96" s="105"/>
      <c r="L96" s="2"/>
      <c r="M96" s="2"/>
      <c r="N96" s="2"/>
      <c r="O96" s="2"/>
      <c r="P96" s="2"/>
      <c r="Q96" s="2"/>
      <c r="R96" s="2"/>
      <c r="S96" s="2"/>
      <c r="T96" s="2"/>
    </row>
    <row r="97" spans="1:20" ht="15" customHeight="1" x14ac:dyDescent="0.3">
      <c r="A97" s="91"/>
      <c r="B97" s="91"/>
      <c r="C97" s="103"/>
      <c r="D97" s="91"/>
      <c r="E97" s="103"/>
      <c r="F97" s="103"/>
      <c r="G97" s="91"/>
      <c r="H97" s="103"/>
      <c r="I97" s="103"/>
      <c r="J97" s="103"/>
      <c r="K97" s="91"/>
      <c r="L97" s="2"/>
      <c r="M97" s="2"/>
      <c r="N97" s="2"/>
      <c r="O97" s="2"/>
      <c r="P97" s="2"/>
      <c r="Q97" s="2"/>
      <c r="R97" s="2"/>
      <c r="S97" s="2"/>
      <c r="T97" s="2"/>
    </row>
    <row r="98" spans="1:20" ht="15" customHeight="1" outlineLevel="1" x14ac:dyDescent="0.25">
      <c r="A98" s="93"/>
      <c r="B98" s="105"/>
      <c r="C98" s="104"/>
      <c r="D98" s="104"/>
      <c r="E98" s="105"/>
      <c r="F98" s="105"/>
      <c r="G98" s="4"/>
      <c r="H98" s="4"/>
      <c r="I98" s="4"/>
      <c r="J98" s="4"/>
      <c r="K98" s="4"/>
      <c r="L98" s="2"/>
      <c r="M98" s="2"/>
      <c r="N98" s="2"/>
      <c r="O98" s="2"/>
      <c r="P98" s="2"/>
      <c r="Q98" s="2"/>
      <c r="R98" s="2"/>
      <c r="S98" s="2"/>
      <c r="T98" s="2"/>
    </row>
    <row r="99" spans="1:20" ht="15" customHeight="1" outlineLevel="1" x14ac:dyDescent="0.25">
      <c r="A99" s="93"/>
      <c r="B99" s="104"/>
      <c r="C99" s="4"/>
      <c r="D99" s="4"/>
      <c r="E99" s="4"/>
      <c r="F99" s="4"/>
      <c r="G99" s="4"/>
      <c r="H99" s="4"/>
      <c r="I99" s="4"/>
      <c r="J99" s="4"/>
      <c r="K99" s="4"/>
      <c r="L99" s="2"/>
      <c r="M99" s="2"/>
      <c r="N99" s="2"/>
      <c r="O99" s="2"/>
      <c r="P99" s="2"/>
      <c r="Q99" s="2"/>
      <c r="R99" s="2"/>
      <c r="S99" s="2"/>
      <c r="T99" s="2"/>
    </row>
    <row r="100" spans="1:20" ht="15" customHeight="1" outlineLevel="1" x14ac:dyDescent="0.3">
      <c r="A100" s="96"/>
      <c r="B100" s="103"/>
      <c r="C100" s="103"/>
      <c r="D100" s="103"/>
      <c r="E100" s="103"/>
      <c r="F100" s="103"/>
      <c r="G100" s="103"/>
      <c r="H100" s="103"/>
      <c r="I100" s="103"/>
      <c r="J100" s="103"/>
      <c r="K100" s="103"/>
      <c r="L100" s="2"/>
      <c r="M100" s="2"/>
      <c r="N100" s="2"/>
      <c r="O100" s="2"/>
      <c r="P100" s="2"/>
      <c r="Q100" s="2"/>
      <c r="R100" s="2"/>
      <c r="S100" s="2"/>
      <c r="T100" s="2"/>
    </row>
    <row r="101" spans="1:20" ht="15" customHeight="1" outlineLevel="2" x14ac:dyDescent="0.25">
      <c r="A101" s="98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2"/>
      <c r="M101" s="2"/>
      <c r="N101" s="2"/>
      <c r="O101" s="2"/>
      <c r="P101" s="2"/>
      <c r="Q101" s="2"/>
      <c r="R101" s="2"/>
      <c r="S101" s="2"/>
      <c r="T101" s="2"/>
    </row>
    <row r="102" spans="1:20" ht="15" customHeight="1" outlineLevel="2" x14ac:dyDescent="0.25">
      <c r="A102" s="98"/>
      <c r="B102" s="4"/>
      <c r="C102" s="4"/>
      <c r="D102" s="4"/>
      <c r="E102" s="4"/>
      <c r="F102" s="4"/>
      <c r="G102" s="4"/>
      <c r="H102" s="4"/>
      <c r="I102" s="4"/>
      <c r="J102" s="4"/>
      <c r="K102" s="105"/>
      <c r="L102" s="2"/>
      <c r="M102" s="2"/>
      <c r="N102" s="2"/>
      <c r="O102" s="2"/>
      <c r="P102" s="2"/>
      <c r="Q102" s="2"/>
      <c r="R102" s="2"/>
      <c r="S102" s="2"/>
      <c r="T102" s="2"/>
    </row>
    <row r="103" spans="1:20" ht="15" customHeight="1" outlineLevel="2" x14ac:dyDescent="0.25">
      <c r="A103" s="98"/>
      <c r="B103" s="4"/>
      <c r="C103" s="4"/>
      <c r="D103" s="4"/>
      <c r="E103" s="4"/>
      <c r="F103" s="4"/>
      <c r="G103" s="4"/>
      <c r="H103" s="4"/>
      <c r="I103" s="4"/>
      <c r="J103" s="4"/>
      <c r="K103" s="105"/>
      <c r="L103" s="2"/>
      <c r="M103" s="2"/>
      <c r="N103" s="2"/>
      <c r="O103" s="2"/>
      <c r="P103" s="2"/>
      <c r="Q103" s="2"/>
      <c r="R103" s="2"/>
      <c r="S103" s="2"/>
      <c r="T103" s="2"/>
    </row>
    <row r="104" spans="1:20" ht="15" customHeight="1" outlineLevel="1" x14ac:dyDescent="0.3">
      <c r="A104" s="96"/>
      <c r="B104" s="103"/>
      <c r="C104" s="103"/>
      <c r="D104" s="103"/>
      <c r="E104" s="103"/>
      <c r="F104" s="103"/>
      <c r="G104" s="103"/>
      <c r="H104" s="103"/>
      <c r="I104" s="103"/>
      <c r="J104" s="103"/>
      <c r="K104" s="103"/>
      <c r="L104" s="2"/>
      <c r="M104" s="2"/>
      <c r="N104" s="2"/>
      <c r="O104" s="2"/>
      <c r="P104" s="2"/>
      <c r="Q104" s="2"/>
      <c r="R104" s="2"/>
      <c r="S104" s="2"/>
      <c r="T104" s="2"/>
    </row>
    <row r="105" spans="1:20" ht="15" customHeight="1" outlineLevel="2" x14ac:dyDescent="0.3">
      <c r="A105" s="99"/>
      <c r="B105" s="91"/>
      <c r="C105" s="91"/>
      <c r="D105" s="91"/>
      <c r="E105" s="103"/>
      <c r="F105" s="103"/>
      <c r="G105" s="103"/>
      <c r="H105" s="103"/>
      <c r="I105" s="103"/>
      <c r="J105" s="103"/>
      <c r="K105" s="103"/>
      <c r="L105" s="2"/>
      <c r="M105" s="2"/>
      <c r="N105" s="2"/>
      <c r="O105" s="2"/>
      <c r="P105" s="2"/>
      <c r="Q105" s="2"/>
      <c r="R105" s="2"/>
      <c r="S105" s="2"/>
      <c r="T105" s="2"/>
    </row>
    <row r="106" spans="1:20" ht="15" customHeight="1" outlineLevel="3" x14ac:dyDescent="0.25">
      <c r="A106" s="100"/>
      <c r="B106" s="4"/>
      <c r="C106" s="4"/>
      <c r="D106" s="4"/>
      <c r="E106" s="4"/>
      <c r="F106" s="4"/>
      <c r="G106" s="4"/>
      <c r="H106" s="4"/>
      <c r="I106" s="4"/>
      <c r="J106" s="4"/>
      <c r="K106" s="104"/>
      <c r="L106" s="2"/>
      <c r="M106" s="2"/>
      <c r="N106" s="2"/>
      <c r="O106" s="2"/>
      <c r="P106" s="2"/>
      <c r="Q106" s="2"/>
      <c r="R106" s="2"/>
      <c r="S106" s="2"/>
      <c r="T106" s="2"/>
    </row>
    <row r="107" spans="1:20" ht="15" customHeight="1" outlineLevel="3" x14ac:dyDescent="0.25">
      <c r="A107" s="100"/>
      <c r="B107" s="4"/>
      <c r="C107" s="4"/>
      <c r="D107" s="4"/>
      <c r="E107" s="4"/>
      <c r="F107" s="4"/>
      <c r="G107" s="4"/>
      <c r="H107" s="4"/>
      <c r="I107" s="4"/>
      <c r="J107" s="4"/>
      <c r="K107" s="104"/>
      <c r="L107" s="2"/>
      <c r="M107" s="2"/>
      <c r="N107" s="2"/>
      <c r="O107" s="2"/>
      <c r="P107" s="2"/>
      <c r="Q107" s="2"/>
      <c r="R107" s="2"/>
      <c r="S107" s="2"/>
      <c r="T107" s="2"/>
    </row>
    <row r="108" spans="1:20" ht="15" customHeight="1" outlineLevel="2" x14ac:dyDescent="0.25">
      <c r="A108" s="98"/>
      <c r="B108" s="4"/>
      <c r="C108" s="4"/>
      <c r="D108" s="4"/>
      <c r="E108" s="104"/>
      <c r="F108" s="104"/>
      <c r="G108" s="104"/>
      <c r="H108" s="104"/>
      <c r="I108" s="104"/>
      <c r="J108" s="104"/>
      <c r="K108" s="104"/>
      <c r="L108" s="2"/>
      <c r="M108" s="2"/>
      <c r="N108" s="2"/>
      <c r="O108" s="2"/>
      <c r="P108" s="2"/>
      <c r="Q108" s="2"/>
      <c r="R108" s="2"/>
      <c r="S108" s="2"/>
      <c r="T108" s="2"/>
    </row>
    <row r="109" spans="1:20" ht="15" customHeight="1" outlineLevel="2" x14ac:dyDescent="0.25">
      <c r="A109" s="98"/>
      <c r="B109" s="4"/>
      <c r="C109" s="4"/>
      <c r="D109" s="4"/>
      <c r="E109" s="105"/>
      <c r="F109" s="104"/>
      <c r="G109" s="104"/>
      <c r="H109" s="104"/>
      <c r="I109" s="105"/>
      <c r="J109" s="104"/>
      <c r="K109" s="104"/>
      <c r="L109" s="2"/>
      <c r="M109" s="2"/>
      <c r="N109" s="2"/>
      <c r="O109" s="2"/>
      <c r="P109" s="2"/>
      <c r="Q109" s="2"/>
      <c r="R109" s="2"/>
      <c r="S109" s="2"/>
      <c r="T109" s="2"/>
    </row>
    <row r="110" spans="1:20" ht="15" customHeight="1" x14ac:dyDescent="0.25">
      <c r="A110" s="4"/>
      <c r="B110" s="104"/>
      <c r="C110" s="104"/>
      <c r="D110" s="104"/>
      <c r="E110" s="104"/>
      <c r="F110" s="105"/>
      <c r="G110" s="4"/>
      <c r="H110" s="104"/>
      <c r="I110" s="4"/>
      <c r="J110" s="105"/>
      <c r="K110" s="104"/>
      <c r="L110" s="2"/>
      <c r="M110" s="2"/>
      <c r="N110" s="2"/>
      <c r="O110" s="2"/>
      <c r="P110" s="2"/>
      <c r="Q110" s="2"/>
      <c r="R110" s="2"/>
      <c r="S110" s="2"/>
      <c r="T110" s="2"/>
    </row>
    <row r="111" spans="1:20" ht="15" customHeight="1" x14ac:dyDescent="0.25">
      <c r="A111" s="4"/>
      <c r="B111" s="105"/>
      <c r="C111" s="104"/>
      <c r="D111" s="105"/>
      <c r="E111" s="104"/>
      <c r="F111" s="105"/>
      <c r="G111" s="104"/>
      <c r="H111" s="105"/>
      <c r="I111" s="104"/>
      <c r="J111" s="105"/>
      <c r="K111" s="104"/>
      <c r="L111" s="2"/>
      <c r="M111" s="2"/>
      <c r="N111" s="2"/>
      <c r="O111" s="2"/>
      <c r="P111" s="2"/>
      <c r="Q111" s="2"/>
      <c r="R111" s="2"/>
      <c r="S111" s="2"/>
      <c r="T111" s="2"/>
    </row>
    <row r="112" spans="1:20" ht="15" customHeight="1" x14ac:dyDescent="0.25">
      <c r="A112" s="4"/>
      <c r="B112" s="105"/>
      <c r="C112" s="105"/>
      <c r="D112" s="105"/>
      <c r="E112" s="105"/>
      <c r="F112" s="105"/>
      <c r="G112" s="105"/>
      <c r="H112" s="105"/>
      <c r="I112" s="105"/>
      <c r="J112" s="105"/>
      <c r="K112" s="105"/>
      <c r="L112" s="2"/>
      <c r="M112" s="2"/>
      <c r="N112" s="2"/>
      <c r="O112" s="2"/>
      <c r="P112" s="2"/>
      <c r="Q112" s="2"/>
      <c r="R112" s="2"/>
      <c r="S112" s="2"/>
      <c r="T112" s="2"/>
    </row>
    <row r="113" spans="1:20" ht="15" customHeight="1" x14ac:dyDescent="0.25">
      <c r="A113" s="4"/>
      <c r="B113" s="105"/>
      <c r="C113" s="105"/>
      <c r="D113" s="105"/>
      <c r="E113" s="105"/>
      <c r="F113" s="105"/>
      <c r="G113" s="105"/>
      <c r="H113" s="105"/>
      <c r="I113" s="105"/>
      <c r="J113" s="105"/>
      <c r="K113" s="104"/>
      <c r="L113" s="2"/>
      <c r="M113" s="2"/>
      <c r="N113" s="2"/>
      <c r="O113" s="2"/>
      <c r="P113" s="2"/>
      <c r="Q113" s="2"/>
      <c r="R113" s="2"/>
      <c r="S113" s="2"/>
      <c r="T113" s="2"/>
    </row>
    <row r="114" spans="1:20" ht="15" customHeight="1" x14ac:dyDescent="0.3">
      <c r="A114" s="91"/>
      <c r="B114" s="91"/>
      <c r="C114" s="91"/>
      <c r="D114" s="91"/>
      <c r="E114" s="91"/>
      <c r="F114" s="91"/>
      <c r="G114" s="91"/>
      <c r="H114" s="91"/>
      <c r="I114" s="91"/>
      <c r="J114" s="91"/>
      <c r="K114" s="91"/>
      <c r="L114" s="2"/>
      <c r="M114" s="2"/>
      <c r="N114" s="2"/>
      <c r="O114" s="2"/>
      <c r="P114" s="2"/>
      <c r="Q114" s="2"/>
      <c r="R114" s="2"/>
      <c r="S114" s="2"/>
      <c r="T114" s="2"/>
    </row>
    <row r="115" spans="1:20" ht="15" customHeight="1" outlineLevel="1" x14ac:dyDescent="0.25">
      <c r="A115" s="93"/>
      <c r="B115" s="104"/>
      <c r="C115" s="104"/>
      <c r="D115" s="105"/>
      <c r="E115" s="104"/>
      <c r="F115" s="105"/>
      <c r="G115" s="104"/>
      <c r="H115" s="104"/>
      <c r="I115" s="104"/>
      <c r="J115" s="104"/>
      <c r="K115" s="104"/>
      <c r="L115" s="2"/>
      <c r="M115" s="2"/>
      <c r="N115" s="2"/>
      <c r="O115" s="2"/>
      <c r="P115" s="2"/>
      <c r="Q115" s="2"/>
      <c r="R115" s="2"/>
      <c r="S115" s="2"/>
      <c r="T115" s="2"/>
    </row>
    <row r="116" spans="1:20" ht="15" customHeight="1" outlineLevel="1" x14ac:dyDescent="0.25">
      <c r="A116" s="93"/>
      <c r="B116" s="4"/>
      <c r="C116" s="4"/>
      <c r="D116" s="4"/>
      <c r="E116" s="4"/>
      <c r="F116" s="4"/>
      <c r="G116" s="4"/>
      <c r="H116" s="4"/>
      <c r="I116" s="4"/>
      <c r="J116" s="104"/>
      <c r="K116" s="104"/>
      <c r="L116" s="2"/>
      <c r="M116" s="2"/>
      <c r="N116" s="2"/>
      <c r="O116" s="2"/>
      <c r="P116" s="2"/>
      <c r="Q116" s="2"/>
      <c r="R116" s="2"/>
      <c r="S116" s="2"/>
      <c r="T116" s="2"/>
    </row>
    <row r="117" spans="1:20" ht="15" customHeight="1" outlineLevel="1" x14ac:dyDescent="0.3">
      <c r="A117" s="96"/>
      <c r="B117" s="91"/>
      <c r="C117" s="91"/>
      <c r="D117" s="91"/>
      <c r="E117" s="91"/>
      <c r="F117" s="103"/>
      <c r="G117" s="103"/>
      <c r="H117" s="103"/>
      <c r="I117" s="103"/>
      <c r="J117" s="103"/>
      <c r="K117" s="103"/>
      <c r="L117" s="2"/>
      <c r="M117" s="2"/>
      <c r="N117" s="2"/>
      <c r="O117" s="2"/>
      <c r="P117" s="2"/>
      <c r="Q117" s="2"/>
      <c r="R117" s="2"/>
      <c r="S117" s="2"/>
      <c r="T117" s="2"/>
    </row>
    <row r="118" spans="1:20" ht="15" customHeight="1" outlineLevel="2" x14ac:dyDescent="0.3">
      <c r="A118" s="99"/>
      <c r="B118" s="91"/>
      <c r="C118" s="91"/>
      <c r="D118" s="91"/>
      <c r="E118" s="91"/>
      <c r="F118" s="91"/>
      <c r="G118" s="91"/>
      <c r="H118" s="91"/>
      <c r="I118" s="91"/>
      <c r="J118" s="103"/>
      <c r="K118" s="103"/>
      <c r="L118" s="2"/>
      <c r="M118" s="2"/>
      <c r="N118" s="2"/>
      <c r="O118" s="2"/>
      <c r="P118" s="2"/>
      <c r="Q118" s="2"/>
      <c r="R118" s="2"/>
      <c r="S118" s="2"/>
      <c r="T118" s="2"/>
    </row>
    <row r="119" spans="1:20" ht="15" customHeight="1" outlineLevel="3" x14ac:dyDescent="0.25">
      <c r="A119" s="100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2"/>
      <c r="M119" s="2"/>
      <c r="N119" s="2"/>
      <c r="O119" s="2"/>
      <c r="P119" s="2"/>
      <c r="Q119" s="2"/>
      <c r="R119" s="2"/>
      <c r="S119" s="2"/>
      <c r="T119" s="2"/>
    </row>
    <row r="120" spans="1:20" ht="15" customHeight="1" outlineLevel="3" x14ac:dyDescent="0.25">
      <c r="A120" s="100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2"/>
      <c r="M120" s="2"/>
      <c r="N120" s="2"/>
      <c r="O120" s="2"/>
      <c r="P120" s="2"/>
      <c r="Q120" s="2"/>
      <c r="R120" s="2"/>
      <c r="S120" s="2"/>
      <c r="T120" s="2"/>
    </row>
    <row r="121" spans="1:20" ht="15" customHeight="1" outlineLevel="2" x14ac:dyDescent="0.25">
      <c r="A121" s="98"/>
      <c r="B121" s="4"/>
      <c r="C121" s="4"/>
      <c r="D121" s="4"/>
      <c r="E121" s="4"/>
      <c r="F121" s="4"/>
      <c r="G121" s="4"/>
      <c r="H121" s="4"/>
      <c r="I121" s="4"/>
      <c r="J121" s="104"/>
      <c r="K121" s="104"/>
      <c r="L121" s="2"/>
      <c r="M121" s="2"/>
      <c r="N121" s="2"/>
      <c r="O121" s="2"/>
      <c r="P121" s="2"/>
      <c r="Q121" s="2"/>
      <c r="R121" s="2"/>
      <c r="S121" s="2"/>
      <c r="T121" s="2"/>
    </row>
    <row r="122" spans="1:20" ht="15" customHeight="1" outlineLevel="1" x14ac:dyDescent="0.25">
      <c r="A122" s="93"/>
      <c r="B122" s="104"/>
      <c r="C122" s="104"/>
      <c r="D122" s="104"/>
      <c r="E122" s="104"/>
      <c r="F122" s="104"/>
      <c r="G122" s="104"/>
      <c r="H122" s="104"/>
      <c r="I122" s="105"/>
      <c r="J122" s="104"/>
      <c r="K122" s="104"/>
      <c r="L122" s="2"/>
      <c r="M122" s="2"/>
      <c r="N122" s="2"/>
      <c r="O122" s="2"/>
      <c r="P122" s="2"/>
      <c r="Q122" s="2"/>
      <c r="R122" s="2"/>
      <c r="S122" s="2"/>
      <c r="T122" s="2"/>
    </row>
    <row r="123" spans="1:20" ht="15" customHeight="1" outlineLevel="1" x14ac:dyDescent="0.25">
      <c r="A123" s="93"/>
      <c r="B123" s="4"/>
      <c r="C123" s="4"/>
      <c r="D123" s="4"/>
      <c r="E123" s="4"/>
      <c r="F123" s="4"/>
      <c r="G123" s="4"/>
      <c r="H123" s="4"/>
      <c r="I123" s="4"/>
      <c r="J123" s="104"/>
      <c r="K123" s="104"/>
      <c r="L123" s="2"/>
      <c r="M123" s="2"/>
      <c r="N123" s="2"/>
      <c r="O123" s="2"/>
      <c r="P123" s="2"/>
      <c r="Q123" s="2"/>
      <c r="R123" s="2"/>
      <c r="S123" s="2"/>
      <c r="T123" s="2"/>
    </row>
    <row r="124" spans="1:20" ht="15" customHeight="1" outlineLevel="1" x14ac:dyDescent="0.3">
      <c r="A124" s="96"/>
      <c r="B124" s="103"/>
      <c r="C124" s="103"/>
      <c r="D124" s="103"/>
      <c r="E124" s="103"/>
      <c r="F124" s="103"/>
      <c r="G124" s="103"/>
      <c r="H124" s="103"/>
      <c r="I124" s="103"/>
      <c r="J124" s="103"/>
      <c r="K124" s="103"/>
      <c r="L124" s="2"/>
      <c r="M124" s="2"/>
      <c r="N124" s="2"/>
      <c r="O124" s="2"/>
      <c r="P124" s="2"/>
      <c r="Q124" s="2"/>
      <c r="R124" s="2"/>
      <c r="S124" s="2"/>
      <c r="T124" s="2"/>
    </row>
    <row r="125" spans="1:20" ht="15" customHeight="1" outlineLevel="2" x14ac:dyDescent="0.25">
      <c r="A125" s="98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2"/>
      <c r="M125" s="2"/>
      <c r="N125" s="2"/>
      <c r="O125" s="2"/>
      <c r="P125" s="2"/>
      <c r="Q125" s="2"/>
      <c r="R125" s="2"/>
      <c r="S125" s="2"/>
      <c r="T125" s="2"/>
    </row>
    <row r="126" spans="1:20" ht="15" customHeight="1" outlineLevel="2" x14ac:dyDescent="0.25">
      <c r="A126" s="98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2"/>
      <c r="M126" s="2"/>
      <c r="N126" s="2"/>
      <c r="O126" s="2"/>
      <c r="P126" s="2"/>
      <c r="Q126" s="2"/>
      <c r="R126" s="2"/>
      <c r="S126" s="2"/>
      <c r="T126" s="2"/>
    </row>
    <row r="127" spans="1:20" ht="15" customHeight="1" outlineLevel="1" x14ac:dyDescent="0.25">
      <c r="A127" s="93"/>
      <c r="B127" s="105"/>
      <c r="C127" s="104"/>
      <c r="D127" s="104"/>
      <c r="E127" s="105"/>
      <c r="F127" s="104"/>
      <c r="G127" s="104"/>
      <c r="H127" s="104"/>
      <c r="I127" s="105"/>
      <c r="J127" s="104"/>
      <c r="K127" s="104"/>
      <c r="L127" s="2"/>
      <c r="M127" s="2"/>
      <c r="N127" s="2"/>
      <c r="O127" s="2"/>
      <c r="P127" s="2"/>
      <c r="Q127" s="2"/>
      <c r="R127" s="2"/>
      <c r="S127" s="2"/>
      <c r="T127" s="2"/>
    </row>
    <row r="128" spans="1:20" ht="15" customHeight="1" outlineLevel="1" x14ac:dyDescent="0.25">
      <c r="A128" s="9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2"/>
      <c r="M128" s="2"/>
      <c r="N128" s="2"/>
      <c r="O128" s="2"/>
      <c r="P128" s="2"/>
      <c r="Q128" s="2"/>
      <c r="R128" s="2"/>
      <c r="S128" s="2"/>
      <c r="T128" s="2"/>
    </row>
    <row r="129" spans="1:20" ht="15" customHeight="1" x14ac:dyDescent="0.25">
      <c r="A129" s="9"/>
      <c r="L129" s="2"/>
      <c r="M129" s="2"/>
      <c r="N129" s="2"/>
      <c r="O129" s="2"/>
      <c r="P129" s="2"/>
      <c r="Q129" s="2"/>
      <c r="R129" s="2"/>
      <c r="S129" s="2"/>
      <c r="T129" s="2"/>
    </row>
  </sheetData>
  <phoneticPr fontId="25" type="noConversion"/>
  <pageMargins left="0.75" right="0.75" top="1" bottom="1" header="0.5" footer="0.5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<?xml version="1.0" encoding="utf-8"?>
<FdsFormulaCache xmlns="urn:fdsformulacache" version="2" timestamp="1658677764"><![CDATA[{"AMZN^FE_ESTIMATE(DEP_AMORT_EXP,MEAN,ANN_ROLL,2022,NOW,,,'')":38716.438,"AMZN^FE_ESTIMATE(DEP_AMORT_EXP,MEAN,ANN_ROLL,2023,NOW,,,'')":44728.72,"AMZN^FE_ESTIMATE(DEP_AMORT_EXP,MEAN,ANN_ROLL,2024,NOW,,,'')":52136.97,"AMZN^FE_ESTIMATE(DEP_AMORT_EXP,MEAN,ANN_ROLL,2025,NOW,,,'')":55507.54,"AMZN^FE_ESTIMATE(DEP_AMORT_EXP,MEAN,ANN_ROLL,2026,NOW,,,'')":58234.55,"AMZN^FE_ESTIMATE(DEP_AMORT_EXP,MEAN,ANN_ROLL,2027,NOW,,,'')":64625.0,"AMZN^FE_ESTIMATE(CAPEX,MEAN,ANN_ROLL,2022,NOW,,,'')":61050.723,"AMZN^FE_ESTIMATE(CAPEX,MEAN,ANN_ROLL,2023,NOW,,,'')":62598.887,"AMZN^FE_ESTIMATE(CAPEX,MEAN,ANN_ROLL,2024,NOW,,,'')":64481.453,"AMZN^FE_ESTIMATE(CAPEX,MEAN,ANN_ROLL,2025,NOW,,,'')":69493.41,"AMZN^FE_ESTIMATE(CAPEX,MEAN,ANN_ROLL,2026,NOW,,,'')":65697.0,"AMZN^FE_ESTIMATE(CAPEX,MEAN,ANN_ROLL,2027,NOW,,,'')":69051.93}]]></FdsFormulaCache>
</file>

<file path=customXml/itemProps1.xml><?xml version="1.0" encoding="utf-8"?>
<ds:datastoreItem xmlns:ds="http://schemas.openxmlformats.org/officeDocument/2006/customXml" ds:itemID="{E31867ED-E0CB-4B24-9FF6-427644D0E7B9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711B3DE4-1D2D-41B1-AFF1-87866EF7E7A5}">
  <ds:schemaRefs>
    <ds:schemaRef ds:uri="urn:fdsformulacach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Empty</vt:lpstr>
      <vt:lpstr>IS</vt:lpstr>
      <vt:lpstr>WACC</vt:lpstr>
      <vt:lpstr>CFS</vt:lpstr>
      <vt:lpstr>Empty!tgr</vt:lpstr>
      <vt:lpstr>Empty!wacc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Chon</dc:creator>
  <cp:lastModifiedBy>Xavier Aliaga</cp:lastModifiedBy>
  <dcterms:created xsi:type="dcterms:W3CDTF">2022-06-12T18:45:32Z</dcterms:created>
  <dcterms:modified xsi:type="dcterms:W3CDTF">2026-09-12T14:47:04Z</dcterms:modified>
</cp:coreProperties>
</file>