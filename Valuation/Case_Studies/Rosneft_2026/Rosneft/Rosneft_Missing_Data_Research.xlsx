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2022 Income Statement" sheetId="2" state="visible" r:id="rId2"/>
    <sheet xmlns:r="http://schemas.openxmlformats.org/officeDocument/2006/relationships" name="2022 Balance Sheet" sheetId="3" state="visible" r:id="rId3"/>
    <sheet xmlns:r="http://schemas.openxmlformats.org/officeDocument/2006/relationships" name="2022 Cash Flow" sheetId="4" state="visible" r:id="rId4"/>
    <sheet xmlns:r="http://schemas.openxmlformats.org/officeDocument/2006/relationships" name="2026 H1 Cash Flow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i val="1"/>
      <color rgb="00595959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Calibri"/>
      <color rgb="00000000"/>
      <sz val="10"/>
      <u val="single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3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rosneft.com/press/releases/item/214043/" TargetMode="External" Id="rId1"/><Relationship Type="http://schemas.openxmlformats.org/officeDocument/2006/relationships/hyperlink" Target="https://rosneft.com/press/releases/item/212065/" TargetMode="External" Id="rId2"/><Relationship Type="http://schemas.openxmlformats.org/officeDocument/2006/relationships/hyperlink" Target="https://tass.com/economy/1748653" TargetMode="External" Id="rId3"/><Relationship Type="http://schemas.openxmlformats.org/officeDocument/2006/relationships/hyperlink" Target="https://rustocks.com/put.phtml/RSNT_4Q2023_IAS_consolidated_EN.pdf" TargetMode="External" Id="rId4"/><Relationship Type="http://schemas.openxmlformats.org/officeDocument/2006/relationships/hyperlink" Target="https://www.rosneft.com/press/releases/item/224607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Rosneft — Researched Data for Missing / Unreliable Cells</t>
        </is>
      </c>
    </row>
    <row r="2">
      <c r="A2" s="2" t="inlineStr">
        <is>
          <t>Companion file to Rosneft_DCF.xlsx ("CFS" tab) — prepared September 2026</t>
        </is>
      </c>
    </row>
    <row r="4">
      <c r="A4" s="3" t="inlineStr"/>
    </row>
    <row r="5">
      <c r="A5" s="4" t="inlineStr">
        <is>
          <t>WHAT THIS FILE IS</t>
        </is>
      </c>
    </row>
    <row r="6">
      <c r="A6" s="3" t="inlineStr">
        <is>
          <t>The "CFS" tab in Rosneft_DCF.xlsx has two kinds of gaps:</t>
        </is>
      </c>
    </row>
    <row r="7">
      <c r="A7" s="3" t="inlineStr">
        <is>
          <t xml:space="preserve">  1) Explicit 'n/a' cells: the full 2022 balance sheet, and the 2026 H1 cash flow statement.</t>
        </is>
      </c>
    </row>
    <row r="8">
      <c r="A8" s="3" t="inlineStr">
        <is>
          <t xml:space="preserve">  2) A hidden problem: the ENTIRE 2022 column for the income statement and cash flow (rows 15-29) is</t>
        </is>
      </c>
    </row>
    <row r="9">
      <c r="A9" s="3" t="inlineStr">
        <is>
          <t xml:space="preserve">     an exact duplicate of the 2023 column, not real 2022 data (e.g. revenue shows 9,163 for both</t>
        </is>
      </c>
    </row>
    <row r="10">
      <c r="A10" s="3" t="inlineStr">
        <is>
          <t xml:space="preserve">     2022 and 2023 — identical to the decimal). This is very unlikely to be a coincidence and was</t>
        </is>
      </c>
    </row>
    <row r="11">
      <c r="A11" s="3" t="inlineStr">
        <is>
          <t xml:space="preserve">     confirmed while researching: it is a copy-paste placeholder, not an audited figure.</t>
        </is>
      </c>
    </row>
    <row r="12">
      <c r="A12" s="3" t="inlineStr"/>
    </row>
    <row r="13">
      <c r="A13" s="4" t="inlineStr">
        <is>
          <t>WHY 2022 DATA IS SO HARD TO FIND</t>
        </is>
      </c>
    </row>
    <row r="14">
      <c r="A14" s="3" t="inlineStr">
        <is>
          <t>Rosneft's own summary consolidated financial statements for FY2023 state explicitly:</t>
        </is>
      </c>
    </row>
    <row r="15">
      <c r="A15" s="3" t="inlineStr">
        <is>
          <t xml:space="preserve">  "Comparative information for the year 2022 is not presented in these summary consolidated</t>
        </is>
      </c>
    </row>
    <row r="16">
      <c r="A16" s="3" t="inlineStr">
        <is>
          <t xml:space="preserve">   financial statements, as it is considered to be sensitive and has not been earlier disclosed for</t>
        </is>
      </c>
    </row>
    <row r="17">
      <c r="A17" s="3" t="inlineStr">
        <is>
          <t xml:space="preserve">   publication in accordance with decree of the Government of the Russian Federation #395 ... and on</t>
        </is>
      </c>
    </row>
    <row r="18">
      <c r="A18" s="3" t="inlineStr">
        <is>
          <t xml:space="preserve">   disclosure of consolidated financial statements dated March 18, 2022."</t>
        </is>
      </c>
    </row>
    <row r="19">
      <c r="A19" s="3" t="inlineStr">
        <is>
          <t>In short: the detailed 2022 balance sheet and full income-statement/cash-flow breakdown were never</t>
        </is>
      </c>
    </row>
    <row r="20">
      <c r="A20" s="3" t="inlineStr">
        <is>
          <t>publicly disclosed by Rosneft. Only a handful of HEADLINE metrics were released via press statements.</t>
        </is>
      </c>
    </row>
    <row r="21">
      <c r="A21" s="3" t="inlineStr">
        <is>
          <t>That is why the tables below are a mix of Official / Derived / Not disclosed values — not a complete fill.</t>
        </is>
      </c>
    </row>
    <row r="22">
      <c r="A22" s="3" t="inlineStr"/>
    </row>
    <row r="23">
      <c r="A23" s="4" t="inlineStr">
        <is>
          <t>UNIT LABEL ERROR IN THE ORIGINAL FILE</t>
        </is>
      </c>
    </row>
    <row r="24">
      <c r="A24" s="3" t="inlineStr">
        <is>
          <t>Rosneft_DCF.xlsx headers say "Unit: millions", but the figures are actually in RUB BILLIONS.</t>
        </is>
      </c>
    </row>
    <row r="25">
      <c r="A25" s="3" t="inlineStr">
        <is>
          <t>Confirmed against Rosneft's own PDF: "(in billions of Russian rubles)" next to the exact same figures</t>
        </is>
      </c>
    </row>
    <row r="26">
      <c r="A26" s="3" t="inlineStr">
        <is>
          <t>(e.g. Total assets 18,787 for Dec 31, 2023). Recommend correcting the label when you update the sheet.</t>
        </is>
      </c>
    </row>
    <row r="27">
      <c r="A27" s="3" t="inlineStr"/>
    </row>
    <row r="28">
      <c r="A28" s="4" t="inlineStr">
        <is>
          <t>HOW TO READ THE TABLES</t>
        </is>
      </c>
    </row>
    <row r="29">
      <c r="A29" s="3" t="inlineStr">
        <is>
          <t>Each value below is tagged:</t>
        </is>
      </c>
    </row>
    <row r="30">
      <c r="A30" s="3" t="inlineStr">
        <is>
          <t xml:space="preserve">  OFFICIAL   — taken directly from a Rosneft press release or its audited summary financial statements.</t>
        </is>
      </c>
    </row>
    <row r="31">
      <c r="A31" s="3" t="inlineStr">
        <is>
          <t xml:space="preserve">  DERIVED    — calculated from two or more OFFICIAL figures (formula shown); treat as a good estimate,</t>
        </is>
      </c>
    </row>
    <row r="32">
      <c r="A32" s="3" t="inlineStr">
        <is>
          <t xml:space="preserve">               not an audited number.</t>
        </is>
      </c>
    </row>
    <row r="33">
      <c r="A33" s="3" t="inlineStr">
        <is>
          <t xml:space="preserve">  NOT DISCLOSED — Rosneft has not published this figure for the period; left blank on purpose rather</t>
        </is>
      </c>
    </row>
    <row r="34">
      <c r="A34" s="3" t="inlineStr">
        <is>
          <t xml:space="preserve">               than guessed.</t>
        </is>
      </c>
    </row>
    <row r="35">
      <c r="A35" s="3" t="inlineStr"/>
    </row>
    <row r="36">
      <c r="A36" s="3" t="inlineStr">
        <is>
          <t>Sheets: "2022 Income Statement", "2022 Balance Sheet", "2022 Cash Flow", "2026 H1 Cash Flow", "Sources".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46" customWidth="1" min="4" max="4"/>
    <col width="22" customWidth="1" min="5" max="5"/>
  </cols>
  <sheetData>
    <row r="1">
      <c r="A1" s="1" t="inlineStr">
        <is>
          <t>2022 Income Statement</t>
        </is>
      </c>
    </row>
    <row r="3">
      <c r="A3" s="5" t="inlineStr">
        <is>
          <t>Line item</t>
        </is>
      </c>
      <c r="B3" s="5" t="inlineStr">
        <is>
          <t>Value (RUB bn)</t>
        </is>
      </c>
      <c r="C3" s="5" t="inlineStr">
        <is>
          <t>Status</t>
        </is>
      </c>
      <c r="D3" s="5" t="inlineStr">
        <is>
          <t>Note / formula</t>
        </is>
      </c>
      <c r="E3" s="5" t="inlineStr">
        <is>
          <t>Source</t>
        </is>
      </c>
    </row>
    <row r="4">
      <c r="A4" s="6" t="inlineStr">
        <is>
          <t>Total revenues and equity share in profits</t>
        </is>
      </c>
      <c r="B4" s="7" t="n">
        <v>9044</v>
      </c>
      <c r="C4" s="8" t="inlineStr">
        <is>
          <t>DERIVED</t>
        </is>
      </c>
      <c r="D4" s="6">
        <f> FY2023 revenue 9,163 ÷ 1.013 (Rosneft stated 2023 revenue "edged up by 1.3%" YoY)</f>
        <v/>
      </c>
      <c r="E4" s="9" t="inlineStr">
        <is>
          <t>Rosneft – 12M 2023 IFRS RESULTS (press release, states 2023 vs 2022 growth %)</t>
        </is>
      </c>
    </row>
    <row r="5">
      <c r="A5" s="10" t="inlineStr">
        <is>
          <t>Production and operating expenses</t>
        </is>
      </c>
      <c r="B5" s="11" t="n"/>
      <c r="C5" s="12" t="inlineStr">
        <is>
          <t>NOT DISCLOSED</t>
        </is>
      </c>
      <c r="D5" s="10" t="inlineStr">
        <is>
          <t>Sub-line of costs; only the FY2022 total (7,523) was disclosed, not this breakdown.</t>
        </is>
      </c>
      <c r="E5" s="13" t="inlineStr">
        <is>
          <t>Rosneft – FULL-YEAR 2022 IFRS RESULTS (press release)</t>
        </is>
      </c>
    </row>
    <row r="6">
      <c r="A6" s="6" t="inlineStr">
        <is>
          <t>Depreciation, depletion, amortization and impairment</t>
        </is>
      </c>
      <c r="B6" s="7" t="n">
        <v>1029</v>
      </c>
      <c r="C6" s="8" t="inlineStr">
        <is>
          <t>DERIVED</t>
        </is>
      </c>
      <c r="D6" s="6">
        <f> EBITDA 2,551 − Operating profit 1,522 (standard EBITDA add-back identity)</f>
        <v/>
      </c>
      <c r="E6" s="9" t="inlineStr">
        <is>
          <t>Rosneft – FULL-YEAR 2022 IFRS RESULTS (press release)</t>
        </is>
      </c>
    </row>
    <row r="7">
      <c r="A7" s="10" t="inlineStr">
        <is>
          <t>Taxes other than income tax</t>
        </is>
      </c>
      <c r="B7" s="11" t="n"/>
      <c r="C7" s="12" t="inlineStr">
        <is>
          <t>NOT DISCLOSED</t>
        </is>
      </c>
      <c r="D7" s="10" t="inlineStr">
        <is>
          <t>Sub-line of costs; only the FY2022 total (7,523) was disclosed, not this breakdown.</t>
        </is>
      </c>
      <c r="E7" s="13" t="inlineStr">
        <is>
          <t>Rosneft – FULL-YEAR 2022 IFRS RESULTS (press release)</t>
        </is>
      </c>
    </row>
    <row r="8">
      <c r="A8" s="10" t="inlineStr">
        <is>
          <t>Other costs and expenses</t>
        </is>
      </c>
      <c r="B8" s="11" t="n"/>
      <c r="C8" s="12" t="inlineStr">
        <is>
          <t>NOT DISCLOSED</t>
        </is>
      </c>
      <c r="D8" s="10" t="inlineStr">
        <is>
          <t>Sub-line of costs; only the FY2022 total (7,523) was disclosed, not this breakdown.</t>
        </is>
      </c>
      <c r="E8" s="13" t="inlineStr">
        <is>
          <t>Rosneft – FULL-YEAR 2022 IFRS RESULTS (press release)</t>
        </is>
      </c>
    </row>
    <row r="9">
      <c r="A9" s="14" t="inlineStr">
        <is>
          <t>Total costs and expenses</t>
        </is>
      </c>
      <c r="B9" s="15" t="n">
        <v>7523</v>
      </c>
      <c r="C9" s="16" t="inlineStr">
        <is>
          <t>OFFICIAL</t>
        </is>
      </c>
      <c r="D9" s="14" t="inlineStr">
        <is>
          <t>Stated directly (2021: 7,363, +2.2% YoY).</t>
        </is>
      </c>
      <c r="E9" s="17" t="inlineStr">
        <is>
          <t>Rosneft – FULL-YEAR 2022 IFRS RESULTS (press release)</t>
        </is>
      </c>
    </row>
    <row r="10">
      <c r="A10" s="14" t="inlineStr">
        <is>
          <t>Operating profit</t>
        </is>
      </c>
      <c r="B10" s="15" t="n">
        <v>1522</v>
      </c>
      <c r="C10" s="16" t="inlineStr">
        <is>
          <t>OFFICIAL</t>
        </is>
      </c>
      <c r="D10" s="14" t="inlineStr">
        <is>
          <t>Stated directly (2021: 1,398, +8.9% YoY).</t>
        </is>
      </c>
      <c r="E10" s="17" t="inlineStr">
        <is>
          <t>Rosneft – FULL-YEAR 2022 IFRS RESULTS (press release)</t>
        </is>
      </c>
    </row>
    <row r="11">
      <c r="A11" s="10" t="inlineStr">
        <is>
          <t>Profit before income tax</t>
        </is>
      </c>
      <c r="B11" s="11" t="n"/>
      <c r="C11" s="12" t="inlineStr">
        <is>
          <t>NOT DISCLOSED</t>
        </is>
      </c>
      <c r="D11" s="10" t="inlineStr">
        <is>
          <t>Requires "other expenses" (net), not published for 2022 — 2022 included a one-off ~$889m loss on the transfer of German assets, so it cannot safely be assumed similar to 2023.</t>
        </is>
      </c>
      <c r="E11" s="13" t="inlineStr">
        <is>
          <t>Rosneft – FULL-YEAR 2022 IFRS RESULTS (press release)</t>
        </is>
      </c>
    </row>
    <row r="12">
      <c r="A12" s="10" t="inlineStr">
        <is>
          <t>Income tax expense</t>
        </is>
      </c>
      <c r="B12" s="11" t="n"/>
      <c r="C12" s="12" t="inlineStr">
        <is>
          <t>NOT DISCLOSED</t>
        </is>
      </c>
      <c r="D12" s="10" t="inlineStr">
        <is>
          <t>Not published for 2022.</t>
        </is>
      </c>
      <c r="E12" s="13" t="inlineStr">
        <is>
          <t>Rosneft – FULL-YEAR 2022 IFRS RESULTS (press release)</t>
        </is>
      </c>
    </row>
    <row r="13">
      <c r="A13" s="10" t="inlineStr">
        <is>
          <t>Profit for the year</t>
        </is>
      </c>
      <c r="B13" s="11" t="n"/>
      <c r="C13" s="12" t="inlineStr">
        <is>
          <t>NOT DISCLOSED</t>
        </is>
      </c>
      <c r="D13" s="10" t="inlineStr">
        <is>
          <t>Not published; only the amount attributable to shareholders (813) was disclosed.</t>
        </is>
      </c>
      <c r="E13" s="13" t="inlineStr">
        <is>
          <t>Rosneft – FULL-YEAR 2022 IFRS RESULTS (press release)</t>
        </is>
      </c>
    </row>
    <row r="14">
      <c r="A14" s="14" t="inlineStr">
        <is>
          <t>Profit for the year attributable to Rosneft shareholders</t>
        </is>
      </c>
      <c r="B14" s="15" t="n">
        <v>813</v>
      </c>
      <c r="C14" s="16" t="inlineStr">
        <is>
          <t>OFFICIAL</t>
        </is>
      </c>
      <c r="D14" s="14" t="inlineStr">
        <is>
          <t>Stated directly (2021: 883, −7.9% YoY).</t>
        </is>
      </c>
      <c r="E14" s="17" t="inlineStr">
        <is>
          <t>Rosneft – FULL-YEAR 2022 IFRS RESULTS (press release)</t>
        </is>
      </c>
    </row>
    <row r="15">
      <c r="A15" s="14" t="inlineStr">
        <is>
          <t>Memo: EBITDA (not a CFS row, useful for the DCF)</t>
        </is>
      </c>
      <c r="B15" s="15" t="n">
        <v>2551</v>
      </c>
      <c r="C15" s="16" t="inlineStr">
        <is>
          <t>OFFICIAL</t>
        </is>
      </c>
      <c r="D15" s="14" t="inlineStr">
        <is>
          <t>Stated directly (2021: 2,330, +9.5% YoY). Cross-checked: 2023 EBITDA 3,005 ÷ 1.178 (+17.8% YoY) = 2,551.</t>
        </is>
      </c>
      <c r="E15" s="17" t="inlineStr">
        <is>
          <t>Rosneft – FULL-YEAR 2022 IFRS RESULTS (press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46" customWidth="1" min="4" max="4"/>
    <col width="22" customWidth="1" min="5" max="5"/>
  </cols>
  <sheetData>
    <row r="1">
      <c r="A1" s="1" t="inlineStr">
        <is>
          <t>2022 Balance Sheet</t>
        </is>
      </c>
    </row>
    <row r="3">
      <c r="A3" s="5" t="inlineStr">
        <is>
          <t>Line item</t>
        </is>
      </c>
      <c r="B3" s="5" t="inlineStr">
        <is>
          <t>Value (RUB bn)</t>
        </is>
      </c>
      <c r="C3" s="5" t="inlineStr">
        <is>
          <t>Status</t>
        </is>
      </c>
      <c r="D3" s="5" t="inlineStr">
        <is>
          <t>Note / formula</t>
        </is>
      </c>
      <c r="E3" s="5" t="inlineStr">
        <is>
          <t>Source</t>
        </is>
      </c>
    </row>
    <row r="4">
      <c r="A4" s="10" t="inlineStr">
        <is>
          <t>Current assets</t>
        </is>
      </c>
      <c r="B4" s="11" t="n"/>
      <c r="C4" s="12" t="inlineStr">
        <is>
          <t>NOT DISCLOSED</t>
        </is>
      </c>
      <c r="D4" s="10" t="inlineStr">
        <is>
          <t>Full 2022 balance sheet withheld from publication (see README).</t>
        </is>
      </c>
      <c r="E4" s="13" t="inlineStr">
        <is>
          <t>Rosneft – Summary Consolidated Financial Statements, FY2023 (audited; discloses 2022 non-disclosure notice)</t>
        </is>
      </c>
    </row>
    <row r="5">
      <c r="A5" s="10" t="inlineStr">
        <is>
          <t>Total non-current assets</t>
        </is>
      </c>
      <c r="B5" s="11" t="n"/>
      <c r="C5" s="12" t="inlineStr">
        <is>
          <t>NOT DISCLOSED</t>
        </is>
      </c>
      <c r="D5" s="10" t="inlineStr">
        <is>
          <t>Full 2022 balance sheet withheld from publication (see README).</t>
        </is>
      </c>
      <c r="E5" s="13" t="inlineStr">
        <is>
          <t>Rosneft – Summary Consolidated Financial Statements, FY2023 (audited; discloses 2022 non-disclosure notice)</t>
        </is>
      </c>
    </row>
    <row r="6">
      <c r="A6" s="10" t="inlineStr">
        <is>
          <t>Total assets</t>
        </is>
      </c>
      <c r="B6" s="11" t="n"/>
      <c r="C6" s="12" t="inlineStr">
        <is>
          <t>NOT DISCLOSED</t>
        </is>
      </c>
      <c r="D6" s="10" t="inlineStr">
        <is>
          <t>Full 2022 balance sheet withheld from publication (see README).</t>
        </is>
      </c>
      <c r="E6" s="13" t="inlineStr">
        <is>
          <t>Rosneft – Summary Consolidated Financial Statements, FY2023 (audited; discloses 2022 non-disclosure notice)</t>
        </is>
      </c>
    </row>
    <row r="7">
      <c r="A7" s="10" t="inlineStr">
        <is>
          <t>Current liabilities</t>
        </is>
      </c>
      <c r="B7" s="11" t="n"/>
      <c r="C7" s="12" t="inlineStr">
        <is>
          <t>NOT DISCLOSED</t>
        </is>
      </c>
      <c r="D7" s="10" t="inlineStr">
        <is>
          <t>Full 2022 balance sheet withheld from publication (see README).</t>
        </is>
      </c>
      <c r="E7" s="13" t="inlineStr">
        <is>
          <t>Rosneft – Summary Consolidated Financial Statements, FY2023 (audited; discloses 2022 non-disclosure notice)</t>
        </is>
      </c>
    </row>
    <row r="8">
      <c r="A8" s="10" t="inlineStr">
        <is>
          <t>Non-current liabilities</t>
        </is>
      </c>
      <c r="B8" s="11" t="n"/>
      <c r="C8" s="12" t="inlineStr">
        <is>
          <t>NOT DISCLOSED</t>
        </is>
      </c>
      <c r="D8" s="10" t="inlineStr">
        <is>
          <t>Full 2022 balance sheet withheld from publication (see README).</t>
        </is>
      </c>
      <c r="E8" s="13" t="inlineStr">
        <is>
          <t>Rosneft – Summary Consolidated Financial Statements, FY2023 (audited; discloses 2022 non-disclosure notice)</t>
        </is>
      </c>
    </row>
    <row r="9">
      <c r="A9" s="10" t="inlineStr">
        <is>
          <t>Total equity</t>
        </is>
      </c>
      <c r="B9" s="11" t="n"/>
      <c r="C9" s="12" t="inlineStr">
        <is>
          <t>NOT DISCLOSED</t>
        </is>
      </c>
      <c r="D9" s="10" t="inlineStr">
        <is>
          <t>Full 2022 balance sheet withheld from publication (see README).</t>
        </is>
      </c>
      <c r="E9" s="13" t="inlineStr">
        <is>
          <t>Rosneft – Summary Consolidated Financial Statements, FY2023 (audited; discloses 2022 non-disclosure notice)</t>
        </is>
      </c>
    </row>
    <row r="10">
      <c r="A10" s="10" t="inlineStr">
        <is>
          <t>Memo: Net debt / EBITDA (leverage ratio, not a balance sheet row)</t>
        </is>
      </c>
      <c r="B10" s="11" t="n"/>
      <c r="C10" s="12" t="inlineStr">
        <is>
          <t>NOT DISCLOSED</t>
        </is>
      </c>
      <c r="D10" s="10" t="inlineStr">
        <is>
          <t>Not quoted for year-end 2022 in the sources reviewed; 2022 highlights only mention debt fell by RUB 0.7 trln vs. the start of the year.</t>
        </is>
      </c>
      <c r="E10" s="13" t="inlineStr">
        <is>
          <t>Rosneft – FULL-YEAR 2022 IFRS RESULTS (press release)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46" customWidth="1" min="4" max="4"/>
    <col width="22" customWidth="1" min="5" max="5"/>
  </cols>
  <sheetData>
    <row r="1">
      <c r="A1" s="1" t="inlineStr">
        <is>
          <t>2022 Cash Flow</t>
        </is>
      </c>
    </row>
    <row r="3">
      <c r="A3" s="5" t="inlineStr">
        <is>
          <t>Line item</t>
        </is>
      </c>
      <c r="B3" s="5" t="inlineStr">
        <is>
          <t>Value (RUB bn)</t>
        </is>
      </c>
      <c r="C3" s="5" t="inlineStr">
        <is>
          <t>Status</t>
        </is>
      </c>
      <c r="D3" s="5" t="inlineStr">
        <is>
          <t>Note / formula</t>
        </is>
      </c>
      <c r="E3" s="5" t="inlineStr">
        <is>
          <t>Source</t>
        </is>
      </c>
    </row>
    <row r="4">
      <c r="A4" s="14" t="inlineStr">
        <is>
          <t>Net cash provided by operating activities</t>
        </is>
      </c>
      <c r="B4" s="15" t="n">
        <v>2121</v>
      </c>
      <c r="C4" s="16" t="inlineStr">
        <is>
          <t>OFFICIAL</t>
        </is>
      </c>
      <c r="D4" s="14" t="inlineStr">
        <is>
          <t>Rosneft discloses this as "Adjusted operating cash flow" (2021: 2,093, +1.3% YoY) — may not be defined identically to the statutory IFRS line of the same name used elsewhere in the sheet.</t>
        </is>
      </c>
      <c r="E4" s="17" t="inlineStr">
        <is>
          <t>Rosneft – FULL-YEAR 2022 IFRS RESULTS (press release)</t>
        </is>
      </c>
    </row>
    <row r="5">
      <c r="A5" s="10" t="inlineStr">
        <is>
          <t>Net cash used in investing activities</t>
        </is>
      </c>
      <c r="B5" s="11" t="n"/>
      <c r="C5" s="12" t="inlineStr">
        <is>
          <t>NOT DISCLOSED</t>
        </is>
      </c>
      <c r="D5" s="10" t="inlineStr">
        <is>
          <t>Not published for 2022.</t>
        </is>
      </c>
      <c r="E5" s="13" t="inlineStr">
        <is>
          <t>Rosneft – FULL-YEAR 2022 IFRS RESULTS (press release)</t>
        </is>
      </c>
    </row>
    <row r="6">
      <c r="A6" s="10" t="inlineStr">
        <is>
          <t>Net cash used in financing activities</t>
        </is>
      </c>
      <c r="B6" s="11" t="n"/>
      <c r="C6" s="12" t="inlineStr">
        <is>
          <t>NOT DISCLOSED</t>
        </is>
      </c>
      <c r="D6" s="10" t="inlineStr">
        <is>
          <t>Not published for 2022.</t>
        </is>
      </c>
      <c r="E6" s="13" t="inlineStr">
        <is>
          <t>Rosneft – FULL-YEAR 2022 IFRS RESULTS (press release)</t>
        </is>
      </c>
    </row>
    <row r="7">
      <c r="A7" s="14" t="inlineStr">
        <is>
          <t>Capital expenditures</t>
        </is>
      </c>
      <c r="B7" s="15" t="n">
        <v>-1132</v>
      </c>
      <c r="C7" s="16" t="inlineStr">
        <is>
          <t>OFFICIAL</t>
        </is>
      </c>
      <c r="D7" s="14" t="inlineStr">
        <is>
          <t>Stated directly (2021: 1,049, +7.9% YoY). Shown negative to match the sheet's cash-outflow convention.</t>
        </is>
      </c>
      <c r="E7" s="17" t="inlineStr">
        <is>
          <t>Rosneft – FULL-YEAR 2022 IFRS RESULTS (press release)</t>
        </is>
      </c>
    </row>
    <row r="8">
      <c r="A8" s="10" t="inlineStr">
        <is>
          <t>Net increase in cash and cash equivalents</t>
        </is>
      </c>
      <c r="B8" s="11" t="n"/>
      <c r="C8" s="12" t="inlineStr">
        <is>
          <t>NOT DISCLOSED</t>
        </is>
      </c>
      <c r="D8" s="10" t="inlineStr">
        <is>
          <t>Not published for 2022.</t>
        </is>
      </c>
      <c r="E8" s="13" t="inlineStr">
        <is>
          <t>Rosneft – FULL-YEAR 2022 IFRS RESULTS (press release)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46" customWidth="1" min="4" max="4"/>
    <col width="22" customWidth="1" min="5" max="5"/>
  </cols>
  <sheetData>
    <row r="1">
      <c r="A1" s="1" t="inlineStr">
        <is>
          <t>2026 H1 Cash Flow</t>
        </is>
      </c>
    </row>
    <row r="3">
      <c r="A3" s="5" t="inlineStr">
        <is>
          <t>Line item</t>
        </is>
      </c>
      <c r="B3" s="5" t="inlineStr">
        <is>
          <t>Value (RUB bn)</t>
        </is>
      </c>
      <c r="C3" s="5" t="inlineStr">
        <is>
          <t>Status</t>
        </is>
      </c>
      <c r="D3" s="5" t="inlineStr">
        <is>
          <t>Note / formula</t>
        </is>
      </c>
      <c r="E3" s="5" t="inlineStr">
        <is>
          <t>Source</t>
        </is>
      </c>
    </row>
    <row r="4">
      <c r="A4" s="6" t="inlineStr">
        <is>
          <t>Net cash provided by operating activities</t>
        </is>
      </c>
      <c r="B4" s="7" t="n">
        <v>1052</v>
      </c>
      <c r="C4" s="8" t="inlineStr">
        <is>
          <t>DERIVED</t>
        </is>
      </c>
      <c r="D4" s="6">
        <f> Free Cash Flow 194 + CAPEX 858, assuming Rosneft's FCF = Operating CF − CAPEX. Rosneft did not publish a standalone operating cash flow figure for 1H 2026.</f>
        <v/>
      </c>
      <c r="E4" s="9" t="inlineStr">
        <is>
          <t>Rosneft – 1H 2026 IFRS RESULTS (press release)</t>
        </is>
      </c>
    </row>
    <row r="5">
      <c r="A5" s="10" t="inlineStr">
        <is>
          <t>Net cash used in investing activities</t>
        </is>
      </c>
      <c r="B5" s="11" t="n"/>
      <c r="C5" s="12" t="inlineStr">
        <is>
          <t>NOT DISCLOSED</t>
        </is>
      </c>
      <c r="D5" s="10" t="inlineStr">
        <is>
          <t>Not published for 1H 2026.</t>
        </is>
      </c>
      <c r="E5" s="13" t="inlineStr">
        <is>
          <t>Rosneft – 1H 2026 IFRS RESULTS (press release)</t>
        </is>
      </c>
    </row>
    <row r="6">
      <c r="A6" s="10" t="inlineStr">
        <is>
          <t>Net cash used in financing activities</t>
        </is>
      </c>
      <c r="B6" s="11" t="n"/>
      <c r="C6" s="12" t="inlineStr">
        <is>
          <t>NOT DISCLOSED</t>
        </is>
      </c>
      <c r="D6" s="10" t="inlineStr">
        <is>
          <t>Not published for 1H 2026.</t>
        </is>
      </c>
      <c r="E6" s="13" t="inlineStr">
        <is>
          <t>Rosneft – 1H 2026 IFRS RESULTS (press release)</t>
        </is>
      </c>
    </row>
    <row r="7">
      <c r="A7" s="14" t="inlineStr">
        <is>
          <t>Capital expenditures</t>
        </is>
      </c>
      <c r="B7" s="15" t="n">
        <v>-858</v>
      </c>
      <c r="C7" s="16" t="inlineStr">
        <is>
          <t>OFFICIAL</t>
        </is>
      </c>
      <c r="D7" s="14" t="inlineStr">
        <is>
          <t>Stated directly: "CAPEX grew to RUB 858 bln", driven by Vostok Oil investment intensity. Shown negative to match the sheet's cash-outflow convention.</t>
        </is>
      </c>
      <c r="E7" s="17" t="inlineStr">
        <is>
          <t>Rosneft – 1H 2026 IFRS RESULTS (press release)</t>
        </is>
      </c>
    </row>
    <row r="8">
      <c r="A8" s="10" t="inlineStr">
        <is>
          <t>Net increase in cash and cash equivalents</t>
        </is>
      </c>
      <c r="B8" s="11" t="n"/>
      <c r="C8" s="12" t="inlineStr">
        <is>
          <t>NOT DISCLOSED</t>
        </is>
      </c>
      <c r="D8" s="10" t="inlineStr">
        <is>
          <t>Not published for 1H 2026.</t>
        </is>
      </c>
      <c r="E8" s="13" t="inlineStr">
        <is>
          <t>Rosneft – 1H 2026 IFRS RESULTS (press release)</t>
        </is>
      </c>
    </row>
    <row r="9">
      <c r="A9" s="14" t="inlineStr">
        <is>
          <t>Memo: Free Cash Flow (not a CFS row, useful for the DCF)</t>
        </is>
      </c>
      <c r="B9" s="15" t="n">
        <v>194</v>
      </c>
      <c r="C9" s="16" t="inlineStr">
        <is>
          <t>OFFICIAL</t>
        </is>
      </c>
      <c r="D9" s="14" t="inlineStr">
        <is>
          <t>Stated directly.</t>
        </is>
      </c>
      <c r="E9" s="17" t="inlineStr">
        <is>
          <t>Rosneft – 1H 2026 IFRS RESULTS (press release)</t>
        </is>
      </c>
    </row>
    <row r="10">
      <c r="A10" s="14" t="inlineStr">
        <is>
          <t>Memo: EBITDA (not a CFS row, useful for the DCF)</t>
        </is>
      </c>
      <c r="B10" s="15" t="n">
        <v>1296</v>
      </c>
      <c r="C10" s="16" t="inlineStr">
        <is>
          <t>OFFICIAL</t>
        </is>
      </c>
      <c r="D10" s="14" t="inlineStr">
        <is>
          <t>Stated directly; EBITDA margin 30%.</t>
        </is>
      </c>
      <c r="E10" s="17" t="inlineStr">
        <is>
          <t>Rosneft – 1H 2026 IFRS RESULTS (press release)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55" customWidth="1" min="3" max="3"/>
  </cols>
  <sheetData>
    <row r="1">
      <c r="A1" s="1" t="inlineStr">
        <is>
          <t>Sources</t>
        </is>
      </c>
    </row>
    <row r="3">
      <c r="A3" s="5" t="inlineStr">
        <is>
          <t>Label used above</t>
        </is>
      </c>
      <c r="B3" s="5" t="inlineStr">
        <is>
          <t>Title</t>
        </is>
      </c>
      <c r="C3" s="5" t="inlineStr">
        <is>
          <t>URL</t>
        </is>
      </c>
    </row>
    <row r="4">
      <c r="A4" s="18" t="inlineStr">
        <is>
          <t>Rosneft – FULL-YEAR 2022 IFRS RESULTS (press release)</t>
        </is>
      </c>
      <c r="B4" s="18" t="inlineStr">
        <is>
          <t>Rosneft Announces Full-Year 2022 IFRS Results</t>
        </is>
      </c>
      <c r="C4" s="19" t="inlineStr">
        <is>
          <t>https://www.rosneft.com/press/releases/item/214043/</t>
        </is>
      </c>
    </row>
    <row r="5">
      <c r="A5" s="18" t="inlineStr">
        <is>
          <t>Rosneft – 1H 2022 IFRS RESULTS (press release)</t>
        </is>
      </c>
      <c r="B5" s="18" t="inlineStr">
        <is>
          <t>Rosneft's 1H 2022 IFRS Results</t>
        </is>
      </c>
      <c r="C5" s="19" t="inlineStr">
        <is>
          <t>https://rosneft.com/press/releases/item/212065/</t>
        </is>
      </c>
    </row>
    <row r="6">
      <c r="A6" s="18" t="inlineStr">
        <is>
          <t>Rosneft – 12M 2023 IFRS RESULTS (press release, states 2023 vs 2022 growth %)</t>
        </is>
      </c>
      <c r="B6" s="18" t="inlineStr">
        <is>
          <t>Rosneft posts 47% rise in IFRS net profit for 2023 (TASS, quoting the 12M 2023 IFRS results)</t>
        </is>
      </c>
      <c r="C6" s="19" t="inlineStr">
        <is>
          <t>https://tass.com/economy/1748653</t>
        </is>
      </c>
    </row>
    <row r="7">
      <c r="A7" s="18" t="inlineStr">
        <is>
          <t>Rosneft – Summary Consolidated Financial Statements, FY2023 (audited; discloses 2022 non-disclosure notice)</t>
        </is>
      </c>
      <c r="B7" s="18" t="inlineStr">
        <is>
          <t>Rosneft Oil Company — Summary Consolidated Financial Statements for the year ended December 31, 2023 (includes the explicit note that 2022 comparatives are withheld under RF Government Decree #395)</t>
        </is>
      </c>
      <c r="C7" s="19" t="inlineStr">
        <is>
          <t>https://rustocks.com/put.phtml/RSNT_4Q2023_IAS_consolidated_EN.pdf</t>
        </is>
      </c>
    </row>
    <row r="8">
      <c r="A8" s="18" t="inlineStr">
        <is>
          <t>Rosneft – 1H 2026 IFRS RESULTS (press release)</t>
        </is>
      </c>
      <c r="B8" s="18" t="inlineStr">
        <is>
          <t>Rosneft Performance in 1H 2026 Based on IFRS</t>
        </is>
      </c>
      <c r="C8" s="19" t="inlineStr">
        <is>
          <t>https://www.rosneft.com/press/releases/item/224607/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2026-09-12T12:32:45Z</dcterms:created>
  <dcterms:modified xmlns:dcterms="http://purl.org/dc/terms/" xmlns:xsi="http://www.w3.org/2001/XMLSchema-instance" xsi:type="dcterms:W3CDTF">2026-09-12T12:32:45Z</dcterms:modified>
</cp:coreProperties>
</file>